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guyen Thu Thuy\Downloads\MIS 311\"/>
    </mc:Choice>
  </mc:AlternateContent>
  <xr:revisionPtr revIDLastSave="0" documentId="13_ncr:1_{84FAE776-AE13-43A3-816A-D7C20FD88FC9}" xr6:coauthVersionLast="47" xr6:coauthVersionMax="47" xr10:uidLastSave="{00000000-0000-0000-0000-000000000000}"/>
  <bookViews>
    <workbookView xWindow="-110" yWindow="-110" windowWidth="19420" windowHeight="11020" activeTab="3" xr2:uid="{79F3EB0C-DA9F-4A11-A5D8-569247B8F7D0}"/>
  </bookViews>
  <sheets>
    <sheet name="Pivot_Customer" sheetId="7" r:id="rId1"/>
    <sheet name="Pivot_Category" sheetId="5" r:id="rId2"/>
    <sheet name="Pivot_City" sheetId="8" r:id="rId3"/>
    <sheet name="Cleaned_Data" sheetId="2" r:id="rId4"/>
    <sheet name="Summary" sheetId="4" r:id="rId5"/>
    <sheet name="Data_Check" sheetId="3" r:id="rId6"/>
    <sheet name="sales" sheetId="1" r:id="rId7"/>
  </sheets>
  <calcPr calcId="191029"/>
  <pivotCaches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4" i="3"/>
  <c r="B3" i="3"/>
  <c r="B2" i="3"/>
</calcChain>
</file>

<file path=xl/sharedStrings.xml><?xml version="1.0" encoding="utf-8"?>
<sst xmlns="http://schemas.openxmlformats.org/spreadsheetml/2006/main" count="2510" uniqueCount="49">
  <si>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</si>
  <si>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</si>
  <si>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</si>
  <si>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</si>
  <si>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</si>
  <si>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</si>
  <si>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</si>
  <si>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</si>
  <si>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</si>
  <si>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</si>
  <si>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</si>
  <si>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</si>
  <si>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</si>
  <si>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</si>
  <si>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</si>
  <si>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</si>
  <si>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</si>
  <si>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</si>
  <si>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</si>
  <si>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</si>
  <si>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</si>
  <si>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</si>
  <si>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</si>
  <si>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</si>
  <si>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</si>
  <si>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Column</t>
  </si>
  <si>
    <t>Missing values</t>
  </si>
  <si>
    <t>Missing values were found in customer_type, product_category, and quantity. Since the number of affected rows was small compared to the total dataset, rows with missing values were removed to maintain data accuracy and avoid misleading category-based analysis.</t>
  </si>
  <si>
    <t>Duplicate rows were checked using Excel’s Remove Duplicates function. Three duplicate records were found and removed because duplicated sales transactions could overstate total revenue and quantity sold.</t>
  </si>
  <si>
    <t>Metric</t>
  </si>
  <si>
    <t>Result</t>
  </si>
  <si>
    <t>Number of transactions</t>
  </si>
  <si>
    <t>Total revenue</t>
  </si>
  <si>
    <t>Average transaction value</t>
  </si>
  <si>
    <t>Median transaction value</t>
  </si>
  <si>
    <t>Minimum transaction value</t>
  </si>
  <si>
    <t>Maximum transaction value</t>
  </si>
  <si>
    <t>Total quantity sold</t>
  </si>
  <si>
    <t>Average quantity per transaction</t>
  </si>
  <si>
    <t>Row Labels</t>
  </si>
  <si>
    <t>Grand Total</t>
  </si>
  <si>
    <t>Sum of total_price</t>
  </si>
  <si>
    <t>Sum of quantity</t>
  </si>
  <si>
    <t>Average of total_price2</t>
  </si>
  <si>
    <t>Revenue</t>
  </si>
  <si>
    <t>Sales Quantity</t>
  </si>
  <si>
    <t>Number of customers</t>
  </si>
  <si>
    <t>Fruits generated the highest revenue at $7,450.12, accounting for approximately 24.5% of total sales revenue. This suggests that Fruits is an important product category for the supermarket and should receive strong inventory support. In contrast, Personal Care generated the lowest revenue at $4,509.59, so the supermarket may need to review its pricing, promotion, or product variety in this category.</t>
  </si>
  <si>
    <t>Chicago produced the highest revenue at $10,813.94, slightly higher than New York at $10,613.69, even though Chicago had fewer transactions. This means Chicago had a higher average sales value per transaction. The supermarket could study Chicago’s customer behavior or product mix to understand why each transaction tends to generate more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</si>
</sst>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18" fillId="0" borderId="0" xfId="0" applyFont="1" applyBorder="1" applyAlignment="1">
      <alignment horizontal="right" vertical="center" wrapText="1"/>
    </xf>
    <xf numFmtId="0" fontId="19" fillId="0" borderId="0" xfId="0" applyFont="1" applyBorder="1" applyAlignment="1">
      <alignment horizontal="right" vertical="center" wrapText="1"/>
    </xf>
    <xf numFmtId="4" fontId="19" fillId="0" borderId="0" xfId="0" applyNumberFormat="1" applyFont="1" applyBorder="1" applyAlignment="1">
      <alignment horizontal="right" vertical="center" wrapText="1"/>
    </xf>
    <xf numFmtId="3" fontId="19" fillId="0" borderId="0" xfId="0" applyNumberFormat="1" applyFont="1" applyBorder="1" applyAlignment="1">
      <alignment horizontal="right" vertical="center" wrapText="1"/>
    </xf>
    <xf numFmtId="0" fontId="19" fillId="0" borderId="0" xfId="0" pivotButton="1" applyFont="1"/>
    <xf numFmtId="0" fontId="19" fillId="0" borderId="0" xfId="0" applyFont="1" applyAlignment="1">
      <alignment horizontal="left"/>
    </xf>
    <xf numFmtId="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Sale.xlsx]Pivot_Customer!PivotTable2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Revenue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Pivot_Customer!$A$4:$A$6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Pivot_Customer!$B$4:$B$6</c:f>
              <c:numCache>
                <c:formatCode>General</c:formatCode>
                <c:ptCount val="2"/>
                <c:pt idx="0">
                  <c:v>1429</c:v>
                </c:pt>
                <c:pt idx="1">
                  <c:v>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C-41B6-911E-3BBB95DC94CA}"/>
            </c:ext>
          </c:extLst>
        </c:ser>
        <c:ser>
          <c:idx val="1"/>
          <c:order val="1"/>
          <c:tx>
            <c:strRef>
              <c:f>Pivot_Customer!$C$3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Pivot_Customer!$A$4:$A$6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Pivot_Customer!$C$4:$C$6</c:f>
              <c:numCache>
                <c:formatCode>General</c:formatCode>
                <c:ptCount val="2"/>
                <c:pt idx="0">
                  <c:v>17614.079999999994</c:v>
                </c:pt>
                <c:pt idx="1">
                  <c:v>12748.86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C-41B6-911E-3BBB95DC94CA}"/>
            </c:ext>
          </c:extLst>
        </c:ser>
        <c:ser>
          <c:idx val="2"/>
          <c:order val="2"/>
          <c:tx>
            <c:strRef>
              <c:f>Pivot_Customer!$D$3</c:f>
              <c:strCache>
                <c:ptCount val="1"/>
                <c:pt idx="0">
                  <c:v>Average of total_price2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Pivot_Customer!$A$4:$A$6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Pivot_Customer!$D$4:$D$6</c:f>
              <c:numCache>
                <c:formatCode>General</c:formatCode>
                <c:ptCount val="2"/>
                <c:pt idx="0">
                  <c:v>138.69354330708657</c:v>
                </c:pt>
                <c:pt idx="1">
                  <c:v>113.82910714285715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C-41B6-911E-3BBB95DC9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675935"/>
        <c:axId val="1059676415"/>
      </c:barChart>
      <c:catAx>
        <c:axId val="105967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9676415"/>
        <c:crosses val="autoZero"/>
        <c:auto val="1"/>
        <c:lblAlgn val="ctr"/>
        <c:lblOffset val="100"/>
        <c:noMultiLvlLbl val="0"/>
      </c:catAx>
      <c:valAx>
        <c:axId val="1059676415"/>
        <c:scaling>
          <c:orientation val="minMax"/>
          <c:max val="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967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Sale.xlsx]Pivot_Category!PivotTable1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Pivot_Category!$A$4:$A$9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Pivot_Category!$B$4:$B$9</c:f>
              <c:numCache>
                <c:formatCode>General</c:formatCode>
                <c:ptCount val="5"/>
                <c:pt idx="0">
                  <c:v>6463.1699999999983</c:v>
                </c:pt>
                <c:pt idx="1">
                  <c:v>7450.119999999999</c:v>
                </c:pt>
                <c:pt idx="2">
                  <c:v>5684.81</c:v>
                </c:pt>
                <c:pt idx="3">
                  <c:v>4509.59</c:v>
                </c:pt>
                <c:pt idx="4">
                  <c:v>6255.25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0-4D83-92CD-F72BDCA69966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Sales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Pivot_Category!$A$4:$A$9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Pivot_Category!$C$4:$C$9</c:f>
              <c:numCache>
                <c:formatCode>General</c:formatCode>
                <c:ptCount val="5"/>
                <c:pt idx="0">
                  <c:v>507</c:v>
                </c:pt>
                <c:pt idx="1">
                  <c:v>632</c:v>
                </c:pt>
                <c:pt idx="2">
                  <c:v>461</c:v>
                </c:pt>
                <c:pt idx="3">
                  <c:v>423</c:v>
                </c:pt>
                <c:pt idx="4">
                  <c:v>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0-4D83-92CD-F72BDCA69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700415"/>
        <c:axId val="1059702815"/>
      </c:barChart>
      <c:catAx>
        <c:axId val="105970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9702815"/>
        <c:crosses val="autoZero"/>
        <c:auto val="1"/>
        <c:lblAlgn val="ctr"/>
        <c:lblOffset val="100"/>
        <c:noMultiLvlLbl val="0"/>
      </c:catAx>
      <c:valAx>
        <c:axId val="105970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970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Sale.xlsx]Pivot_City!PivotTable3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Pivot_City!$B$3</c:f>
              <c:strCache>
                <c:ptCount val="1"/>
                <c:pt idx="0">
                  <c:v>Sales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Pivot_City!$A$4:$A$7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Pivot_City!$B$4:$B$7</c:f>
              <c:numCache>
                <c:formatCode>General</c:formatCode>
                <c:ptCount val="3"/>
                <c:pt idx="0">
                  <c:v>830</c:v>
                </c:pt>
                <c:pt idx="1">
                  <c:v>844</c:v>
                </c:pt>
                <c:pt idx="2">
                  <c:v>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1-45A0-836B-1AEDA02537EC}"/>
            </c:ext>
          </c:extLst>
        </c:ser>
        <c:ser>
          <c:idx val="1"/>
          <c:order val="1"/>
          <c:tx>
            <c:strRef>
              <c:f>Pivot_City!$C$3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Pivot_City!$A$4:$A$7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Pivot_City!$C$4:$C$7</c:f>
              <c:numCache>
                <c:formatCode>General</c:formatCode>
                <c:ptCount val="3"/>
                <c:pt idx="0">
                  <c:v>10813.939999999999</c:v>
                </c:pt>
                <c:pt idx="1">
                  <c:v>8935.3099999999959</c:v>
                </c:pt>
                <c:pt idx="2">
                  <c:v>10613.689999999997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1-45A0-836B-1AEDA02537EC}"/>
            </c:ext>
          </c:extLst>
        </c:ser>
        <c:ser>
          <c:idx val="2"/>
          <c:order val="2"/>
          <c:tx>
            <c:strRef>
              <c:f>Pivot_City!$D$3</c:f>
              <c:strCache>
                <c:ptCount val="1"/>
                <c:pt idx="0">
                  <c:v>Number of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Pivot_City!$A$4:$A$7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Pivot_City!$D$4:$D$7</c:f>
              <c:numCache>
                <c:formatCode>General</c:formatCode>
                <c:ptCount val="3"/>
                <c:pt idx="0">
                  <c:v>72</c:v>
                </c:pt>
                <c:pt idx="1">
                  <c:v>77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51-45A0-836B-1AEDA0253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686975"/>
        <c:axId val="1059698495"/>
      </c:barChart>
      <c:catAx>
        <c:axId val="105968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9698495"/>
        <c:crosses val="autoZero"/>
        <c:auto val="1"/>
        <c:lblAlgn val="ctr"/>
        <c:lblOffset val="100"/>
        <c:noMultiLvlLbl val="0"/>
      </c:catAx>
      <c:valAx>
        <c:axId val="105969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968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2</xdr:row>
      <xdr:rowOff>79375</xdr:rowOff>
    </xdr:from>
    <xdr:to>
      <xdr:col>12</xdr:col>
      <xdr:colOff>25400</xdr:colOff>
      <xdr:row>17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201ED-49AD-E577-654E-45D2B34E9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</xdr:row>
      <xdr:rowOff>57150</xdr:rowOff>
    </xdr:from>
    <xdr:to>
      <xdr:col>10</xdr:col>
      <xdr:colOff>552450</xdr:colOff>
      <xdr:row>16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40D2FA-4B2E-D623-794C-8188D61B3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3</xdr:row>
      <xdr:rowOff>104775</xdr:rowOff>
    </xdr:from>
    <xdr:to>
      <xdr:col>12</xdr:col>
      <xdr:colOff>9525</xdr:colOff>
      <xdr:row>19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92C447-2546-5122-BFB0-0647D8713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 Thu Thuy" refreshedDate="46159.90925960648" createdVersion="8" refreshedVersion="8" minRefreshableVersion="3" recordCount="239" xr:uid="{5D95544D-FA3F-4C81-8D5D-D79EB8C15737}">
  <cacheSource type="worksheet">
    <worksheetSource name="SalesTable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1"/>
    <s v="A"/>
    <x v="0"/>
    <x v="0"/>
    <s v="Shampoo"/>
    <x v="0"/>
    <n v="3"/>
    <n v="17.66"/>
  </r>
  <r>
    <n v="2"/>
    <s v="B"/>
    <x v="1"/>
    <x v="1"/>
    <s v="Notebook"/>
    <x v="1"/>
    <n v="10"/>
    <n v="29.43"/>
  </r>
  <r>
    <n v="3"/>
    <s v="A"/>
    <x v="0"/>
    <x v="0"/>
    <s v="Apple"/>
    <x v="2"/>
    <n v="15"/>
    <n v="19.260000000000002"/>
  </r>
  <r>
    <n v="4"/>
    <s v="A"/>
    <x v="2"/>
    <x v="1"/>
    <s v="Detergent"/>
    <x v="3"/>
    <n v="5"/>
    <n v="41.73"/>
  </r>
  <r>
    <n v="5"/>
    <s v="B"/>
    <x v="1"/>
    <x v="0"/>
    <s v="Orange Juice"/>
    <x v="4"/>
    <n v="7"/>
    <n v="26.22"/>
  </r>
  <r>
    <n v="6"/>
    <s v="A"/>
    <x v="2"/>
    <x v="1"/>
    <s v="Shampoo"/>
    <x v="1"/>
    <n v="9"/>
    <n v="108.24"/>
  </r>
  <r>
    <n v="7"/>
    <s v="A"/>
    <x v="2"/>
    <x v="1"/>
    <s v="Shampoo"/>
    <x v="0"/>
    <n v="1"/>
    <n v="11.46"/>
  </r>
  <r>
    <n v="8"/>
    <s v="B"/>
    <x v="1"/>
    <x v="1"/>
    <s v="Shampoo"/>
    <x v="3"/>
    <n v="9"/>
    <n v="175.55"/>
  </r>
  <r>
    <n v="9"/>
    <s v="A"/>
    <x v="2"/>
    <x v="0"/>
    <s v="Apple"/>
    <x v="2"/>
    <n v="20"/>
    <n v="302.81"/>
  </r>
  <r>
    <n v="10"/>
    <s v="B"/>
    <x v="1"/>
    <x v="0"/>
    <s v="Shampoo"/>
    <x v="2"/>
    <n v="19"/>
    <n v="374.48"/>
  </r>
  <r>
    <n v="11"/>
    <s v="A"/>
    <x v="2"/>
    <x v="1"/>
    <s v="Detergent"/>
    <x v="4"/>
    <n v="7"/>
    <n v="69.81"/>
  </r>
  <r>
    <n v="13"/>
    <s v="A"/>
    <x v="0"/>
    <x v="1"/>
    <s v="Orange Juice"/>
    <x v="3"/>
    <n v="4"/>
    <n v="14.08"/>
  </r>
  <r>
    <n v="12"/>
    <s v="B"/>
    <x v="1"/>
    <x v="0"/>
    <s v="Orange Juice"/>
    <x v="3"/>
    <n v="12"/>
    <n v="88.47"/>
  </r>
  <r>
    <n v="14"/>
    <s v="B"/>
    <x v="1"/>
    <x v="0"/>
    <s v="Apple"/>
    <x v="2"/>
    <n v="5"/>
    <n v="47.13"/>
  </r>
  <r>
    <n v="15"/>
    <s v="B"/>
    <x v="1"/>
    <x v="1"/>
    <s v="Apple"/>
    <x v="4"/>
    <n v="3"/>
    <n v="62.53"/>
  </r>
  <r>
    <n v="16"/>
    <s v="B"/>
    <x v="1"/>
    <x v="1"/>
    <s v="Notebook"/>
    <x v="1"/>
    <n v="8"/>
    <n v="47.51"/>
  </r>
  <r>
    <n v="17"/>
    <s v="B"/>
    <x v="1"/>
    <x v="0"/>
    <s v="Apple"/>
    <x v="0"/>
    <n v="2"/>
    <n v="4.5599999999999996"/>
  </r>
  <r>
    <n v="18"/>
    <s v="B"/>
    <x v="1"/>
    <x v="1"/>
    <s v="Notebook"/>
    <x v="2"/>
    <n v="15"/>
    <n v="212.82"/>
  </r>
  <r>
    <n v="19"/>
    <s v="A"/>
    <x v="0"/>
    <x v="0"/>
    <s v="Apple"/>
    <x v="4"/>
    <n v="2"/>
    <n v="41.92"/>
  </r>
  <r>
    <n v="21"/>
    <s v="B"/>
    <x v="1"/>
    <x v="1"/>
    <s v="Shampoo"/>
    <x v="0"/>
    <n v="11"/>
    <n v="51.32"/>
  </r>
  <r>
    <n v="22"/>
    <s v="B"/>
    <x v="1"/>
    <x v="1"/>
    <s v="Orange Juice"/>
    <x v="4"/>
    <n v="1"/>
    <n v="7.28"/>
  </r>
  <r>
    <n v="23"/>
    <s v="A"/>
    <x v="0"/>
    <x v="0"/>
    <s v="Shampoo"/>
    <x v="4"/>
    <n v="16"/>
    <n v="33.380000000000003"/>
  </r>
  <r>
    <n v="24"/>
    <s v="A"/>
    <x v="2"/>
    <x v="1"/>
    <s v="Apple"/>
    <x v="2"/>
    <n v="2"/>
    <n v="40.770000000000003"/>
  </r>
  <r>
    <n v="25"/>
    <s v="B"/>
    <x v="1"/>
    <x v="0"/>
    <s v="Detergent"/>
    <x v="4"/>
    <n v="18"/>
    <n v="218.22"/>
  </r>
  <r>
    <n v="26"/>
    <s v="B"/>
    <x v="1"/>
    <x v="1"/>
    <s v="Notebook"/>
    <x v="2"/>
    <n v="16"/>
    <n v="238.65"/>
  </r>
  <r>
    <n v="27"/>
    <s v="A"/>
    <x v="0"/>
    <x v="0"/>
    <s v="Detergent"/>
    <x v="3"/>
    <n v="2"/>
    <n v="20.440000000000001"/>
  </r>
  <r>
    <n v="28"/>
    <s v="A"/>
    <x v="0"/>
    <x v="0"/>
    <s v="Detergent"/>
    <x v="0"/>
    <n v="17"/>
    <n v="299.41000000000003"/>
  </r>
  <r>
    <n v="29"/>
    <s v="B"/>
    <x v="1"/>
    <x v="0"/>
    <s v="Shampoo"/>
    <x v="1"/>
    <n v="17"/>
    <n v="223.74"/>
  </r>
  <r>
    <n v="33"/>
    <s v="B"/>
    <x v="1"/>
    <x v="1"/>
    <s v="Notebook"/>
    <x v="1"/>
    <n v="17"/>
    <n v="126.24"/>
  </r>
  <r>
    <n v="34"/>
    <s v="B"/>
    <x v="1"/>
    <x v="1"/>
    <s v="Orange Juice"/>
    <x v="3"/>
    <n v="9"/>
    <n v="78.290000000000006"/>
  </r>
  <r>
    <n v="36"/>
    <s v="A"/>
    <x v="0"/>
    <x v="0"/>
    <s v="Detergent"/>
    <x v="0"/>
    <n v="15"/>
    <n v="210.9"/>
  </r>
  <r>
    <n v="37"/>
    <s v="B"/>
    <x v="1"/>
    <x v="0"/>
    <s v="Shampoo"/>
    <x v="2"/>
    <n v="16"/>
    <n v="190.72"/>
  </r>
  <r>
    <n v="38"/>
    <s v="B"/>
    <x v="1"/>
    <x v="0"/>
    <s v="Notebook"/>
    <x v="4"/>
    <n v="14"/>
    <n v="81.19"/>
  </r>
  <r>
    <n v="40"/>
    <s v="A"/>
    <x v="0"/>
    <x v="1"/>
    <s v="Apple"/>
    <x v="2"/>
    <n v="11"/>
    <n v="13.77"/>
  </r>
  <r>
    <n v="39"/>
    <s v="A"/>
    <x v="0"/>
    <x v="0"/>
    <s v="Notebook"/>
    <x v="4"/>
    <n v="15"/>
    <n v="246.21"/>
  </r>
  <r>
    <n v="41"/>
    <s v="A"/>
    <x v="0"/>
    <x v="0"/>
    <s v="Notebook"/>
    <x v="3"/>
    <n v="10"/>
    <n v="115.56"/>
  </r>
  <r>
    <n v="42"/>
    <s v="A"/>
    <x v="0"/>
    <x v="1"/>
    <s v="Apple"/>
    <x v="3"/>
    <n v="12"/>
    <n v="140.97999999999999"/>
  </r>
  <r>
    <n v="43"/>
    <s v="A"/>
    <x v="0"/>
    <x v="1"/>
    <s v="Notebook"/>
    <x v="2"/>
    <n v="2"/>
    <n v="8.92"/>
  </r>
  <r>
    <n v="45"/>
    <s v="B"/>
    <x v="1"/>
    <x v="0"/>
    <s v="Shampoo"/>
    <x v="3"/>
    <n v="8"/>
    <n v="134.65"/>
  </r>
  <r>
    <n v="46"/>
    <s v="A"/>
    <x v="0"/>
    <x v="0"/>
    <s v="Shampoo"/>
    <x v="2"/>
    <n v="8"/>
    <n v="136.53"/>
  </r>
  <r>
    <n v="47"/>
    <s v="A"/>
    <x v="0"/>
    <x v="1"/>
    <s v="Shampoo"/>
    <x v="1"/>
    <n v="8"/>
    <n v="10.96"/>
  </r>
  <r>
    <n v="48"/>
    <s v="B"/>
    <x v="1"/>
    <x v="1"/>
    <s v="Detergent"/>
    <x v="0"/>
    <n v="20"/>
    <n v="213.57"/>
  </r>
  <r>
    <n v="50"/>
    <s v="A"/>
    <x v="2"/>
    <x v="1"/>
    <s v="Apple"/>
    <x v="1"/>
    <n v="19"/>
    <n v="335.45"/>
  </r>
  <r>
    <n v="51"/>
    <s v="A"/>
    <x v="2"/>
    <x v="1"/>
    <s v="Detergent"/>
    <x v="1"/>
    <n v="19"/>
    <n v="346.02"/>
  </r>
  <r>
    <n v="52"/>
    <s v="A"/>
    <x v="2"/>
    <x v="0"/>
    <s v="Orange Juice"/>
    <x v="2"/>
    <n v="5"/>
    <n v="59.71"/>
  </r>
  <r>
    <n v="53"/>
    <s v="B"/>
    <x v="1"/>
    <x v="1"/>
    <s v="Orange Juice"/>
    <x v="2"/>
    <n v="1"/>
    <n v="20.39"/>
  </r>
  <r>
    <n v="54"/>
    <s v="A"/>
    <x v="0"/>
    <x v="1"/>
    <s v="Orange Juice"/>
    <x v="2"/>
    <n v="14"/>
    <n v="70.11"/>
  </r>
  <r>
    <n v="55"/>
    <s v="B"/>
    <x v="1"/>
    <x v="0"/>
    <s v="Notebook"/>
    <x v="3"/>
    <n v="13"/>
    <n v="216.58"/>
  </r>
  <r>
    <n v="56"/>
    <s v="A"/>
    <x v="2"/>
    <x v="0"/>
    <s v="Shampoo"/>
    <x v="0"/>
    <n v="10"/>
    <n v="212.5"/>
  </r>
  <r>
    <n v="57"/>
    <s v="A"/>
    <x v="2"/>
    <x v="0"/>
    <s v="Orange Juice"/>
    <x v="4"/>
    <n v="19"/>
    <n v="414.94"/>
  </r>
  <r>
    <n v="58"/>
    <s v="A"/>
    <x v="2"/>
    <x v="1"/>
    <s v="Notebook"/>
    <x v="2"/>
    <n v="20"/>
    <n v="427.14"/>
  </r>
  <r>
    <n v="59"/>
    <s v="A"/>
    <x v="2"/>
    <x v="0"/>
    <s v="Detergent"/>
    <x v="1"/>
    <n v="20"/>
    <n v="331.27"/>
  </r>
  <r>
    <n v="60"/>
    <s v="A"/>
    <x v="2"/>
    <x v="0"/>
    <s v="Notebook"/>
    <x v="1"/>
    <n v="4"/>
    <n v="59.88"/>
  </r>
  <r>
    <n v="62"/>
    <s v="A"/>
    <x v="2"/>
    <x v="0"/>
    <s v="Orange Juice"/>
    <x v="4"/>
    <n v="14"/>
    <n v="287.47000000000003"/>
  </r>
  <r>
    <n v="63"/>
    <s v="A"/>
    <x v="0"/>
    <x v="0"/>
    <s v="Notebook"/>
    <x v="1"/>
    <n v="19"/>
    <n v="258.8"/>
  </r>
  <r>
    <n v="64"/>
    <s v="A"/>
    <x v="2"/>
    <x v="0"/>
    <s v="Detergent"/>
    <x v="3"/>
    <n v="10"/>
    <n v="121.23"/>
  </r>
  <r>
    <n v="65"/>
    <s v="A"/>
    <x v="0"/>
    <x v="1"/>
    <s v="Orange Juice"/>
    <x v="3"/>
    <n v="12"/>
    <n v="112.74"/>
  </r>
  <r>
    <n v="66"/>
    <s v="A"/>
    <x v="0"/>
    <x v="0"/>
    <s v="Notebook"/>
    <x v="0"/>
    <n v="2"/>
    <n v="21.94"/>
  </r>
  <r>
    <n v="67"/>
    <s v="B"/>
    <x v="1"/>
    <x v="0"/>
    <s v="Notebook"/>
    <x v="1"/>
    <n v="8"/>
    <n v="89.62"/>
  </r>
  <r>
    <n v="69"/>
    <s v="A"/>
    <x v="2"/>
    <x v="0"/>
    <s v="Apple"/>
    <x v="0"/>
    <n v="16"/>
    <n v="20.03"/>
  </r>
  <r>
    <n v="70"/>
    <s v="B"/>
    <x v="1"/>
    <x v="1"/>
    <s v="Shampoo"/>
    <x v="1"/>
    <n v="14"/>
    <n v="41.49"/>
  </r>
  <r>
    <n v="71"/>
    <s v="A"/>
    <x v="2"/>
    <x v="1"/>
    <s v="Orange Juice"/>
    <x v="1"/>
    <n v="2"/>
    <n v="27.46"/>
  </r>
  <r>
    <n v="72"/>
    <s v="A"/>
    <x v="0"/>
    <x v="1"/>
    <s v="Apple"/>
    <x v="2"/>
    <n v="11"/>
    <n v="167.25"/>
  </r>
  <r>
    <n v="73"/>
    <s v="A"/>
    <x v="2"/>
    <x v="1"/>
    <s v="Detergent"/>
    <x v="2"/>
    <n v="20"/>
    <n v="155.58000000000001"/>
  </r>
  <r>
    <n v="74"/>
    <s v="A"/>
    <x v="0"/>
    <x v="1"/>
    <s v="Shampoo"/>
    <x v="1"/>
    <n v="2"/>
    <n v="43.38"/>
  </r>
  <r>
    <n v="75"/>
    <s v="A"/>
    <x v="0"/>
    <x v="1"/>
    <s v="Orange Juice"/>
    <x v="2"/>
    <n v="11"/>
    <n v="101.46"/>
  </r>
  <r>
    <n v="76"/>
    <s v="A"/>
    <x v="0"/>
    <x v="1"/>
    <s v="Shampoo"/>
    <x v="0"/>
    <n v="8"/>
    <n v="163.84"/>
  </r>
  <r>
    <n v="77"/>
    <s v="B"/>
    <x v="1"/>
    <x v="1"/>
    <s v="Orange Juice"/>
    <x v="1"/>
    <n v="10"/>
    <n v="108.71"/>
  </r>
  <r>
    <n v="78"/>
    <s v="A"/>
    <x v="2"/>
    <x v="1"/>
    <s v="Apple"/>
    <x v="4"/>
    <n v="20"/>
    <n v="144.02000000000001"/>
  </r>
  <r>
    <n v="79"/>
    <s v="B"/>
    <x v="1"/>
    <x v="1"/>
    <s v="Notebook"/>
    <x v="4"/>
    <n v="11"/>
    <n v="166.9"/>
  </r>
  <r>
    <n v="80"/>
    <s v="A"/>
    <x v="0"/>
    <x v="0"/>
    <s v="Notebook"/>
    <x v="1"/>
    <n v="16"/>
    <n v="284.19"/>
  </r>
  <r>
    <n v="81"/>
    <s v="A"/>
    <x v="2"/>
    <x v="1"/>
    <s v="Orange Juice"/>
    <x v="3"/>
    <n v="20"/>
    <n v="285.89999999999998"/>
  </r>
  <r>
    <n v="82"/>
    <s v="A"/>
    <x v="2"/>
    <x v="0"/>
    <s v="Orange Juice"/>
    <x v="2"/>
    <n v="15"/>
    <n v="225.34"/>
  </r>
  <r>
    <n v="83"/>
    <s v="B"/>
    <x v="1"/>
    <x v="1"/>
    <s v="Orange Juice"/>
    <x v="3"/>
    <n v="8"/>
    <n v="118.9"/>
  </r>
  <r>
    <n v="84"/>
    <s v="A"/>
    <x v="0"/>
    <x v="0"/>
    <s v="Notebook"/>
    <x v="4"/>
    <n v="10"/>
    <n v="187.89"/>
  </r>
  <r>
    <n v="85"/>
    <s v="A"/>
    <x v="2"/>
    <x v="1"/>
    <s v="Detergent"/>
    <x v="3"/>
    <n v="13"/>
    <n v="52.72"/>
  </r>
  <r>
    <n v="86"/>
    <s v="B"/>
    <x v="1"/>
    <x v="1"/>
    <s v="Orange Juice"/>
    <x v="4"/>
    <n v="10"/>
    <n v="53.5"/>
  </r>
  <r>
    <n v="88"/>
    <s v="A"/>
    <x v="0"/>
    <x v="1"/>
    <s v="Orange Juice"/>
    <x v="1"/>
    <n v="8"/>
    <n v="118.73"/>
  </r>
  <r>
    <n v="89"/>
    <s v="A"/>
    <x v="2"/>
    <x v="1"/>
    <s v="Detergent"/>
    <x v="4"/>
    <n v="2"/>
    <n v="41.97"/>
  </r>
  <r>
    <n v="90"/>
    <s v="B"/>
    <x v="1"/>
    <x v="1"/>
    <s v="Notebook"/>
    <x v="3"/>
    <n v="10"/>
    <n v="114.6"/>
  </r>
  <r>
    <n v="91"/>
    <s v="A"/>
    <x v="2"/>
    <x v="0"/>
    <s v="Orange Juice"/>
    <x v="3"/>
    <n v="3"/>
    <n v="59.61"/>
  </r>
  <r>
    <n v="92"/>
    <s v="B"/>
    <x v="1"/>
    <x v="0"/>
    <s v="Notebook"/>
    <x v="0"/>
    <n v="2"/>
    <n v="40.869999999999997"/>
  </r>
  <r>
    <n v="93"/>
    <s v="A"/>
    <x v="0"/>
    <x v="0"/>
    <s v="Apple"/>
    <x v="1"/>
    <n v="12"/>
    <n v="128.79"/>
  </r>
  <r>
    <n v="94"/>
    <s v="B"/>
    <x v="1"/>
    <x v="0"/>
    <s v="Orange Juice"/>
    <x v="2"/>
    <n v="9"/>
    <n v="54.41"/>
  </r>
  <r>
    <n v="95"/>
    <s v="B"/>
    <x v="1"/>
    <x v="1"/>
    <s v="Shampoo"/>
    <x v="1"/>
    <n v="9"/>
    <n v="173.73"/>
  </r>
  <r>
    <n v="96"/>
    <s v="A"/>
    <x v="0"/>
    <x v="0"/>
    <s v="Apple"/>
    <x v="4"/>
    <n v="1"/>
    <n v="7.38"/>
  </r>
  <r>
    <n v="97"/>
    <s v="B"/>
    <x v="1"/>
    <x v="0"/>
    <s v="Orange Juice"/>
    <x v="4"/>
    <n v="17"/>
    <n v="341.61"/>
  </r>
  <r>
    <n v="98"/>
    <s v="B"/>
    <x v="1"/>
    <x v="1"/>
    <s v="Notebook"/>
    <x v="0"/>
    <n v="3"/>
    <n v="49.92"/>
  </r>
  <r>
    <n v="100"/>
    <s v="A"/>
    <x v="2"/>
    <x v="0"/>
    <s v="Notebook"/>
    <x v="4"/>
    <n v="18"/>
    <n v="204.54"/>
  </r>
  <r>
    <n v="101"/>
    <s v="B"/>
    <x v="1"/>
    <x v="0"/>
    <s v="Orange Juice"/>
    <x v="3"/>
    <n v="20"/>
    <n v="90.74"/>
  </r>
  <r>
    <n v="102"/>
    <s v="A"/>
    <x v="0"/>
    <x v="1"/>
    <s v="Notebook"/>
    <x v="4"/>
    <n v="4"/>
    <n v="71.430000000000007"/>
  </r>
  <r>
    <n v="103"/>
    <s v="A"/>
    <x v="0"/>
    <x v="1"/>
    <s v="Orange Juice"/>
    <x v="0"/>
    <n v="9"/>
    <n v="85.61"/>
  </r>
  <r>
    <n v="104"/>
    <s v="A"/>
    <x v="0"/>
    <x v="1"/>
    <s v="Shampoo"/>
    <x v="4"/>
    <n v="18"/>
    <n v="351.3"/>
  </r>
  <r>
    <n v="105"/>
    <s v="B"/>
    <x v="1"/>
    <x v="0"/>
    <s v="Orange Juice"/>
    <x v="4"/>
    <n v="18"/>
    <n v="119.99"/>
  </r>
  <r>
    <n v="106"/>
    <s v="A"/>
    <x v="2"/>
    <x v="1"/>
    <s v="Apple"/>
    <x v="3"/>
    <n v="2"/>
    <n v="2.1800000000000002"/>
  </r>
  <r>
    <n v="107"/>
    <s v="A"/>
    <x v="0"/>
    <x v="0"/>
    <s v="Detergent"/>
    <x v="0"/>
    <n v="6"/>
    <n v="28.89"/>
  </r>
  <r>
    <n v="108"/>
    <s v="B"/>
    <x v="1"/>
    <x v="1"/>
    <s v="Detergent"/>
    <x v="1"/>
    <n v="15"/>
    <n v="117.33"/>
  </r>
  <r>
    <n v="109"/>
    <s v="B"/>
    <x v="1"/>
    <x v="1"/>
    <s v="Orange Juice"/>
    <x v="2"/>
    <n v="9"/>
    <n v="162.75"/>
  </r>
  <r>
    <n v="110"/>
    <s v="A"/>
    <x v="0"/>
    <x v="0"/>
    <s v="Detergent"/>
    <x v="4"/>
    <n v="13"/>
    <n v="82.21"/>
  </r>
  <r>
    <n v="111"/>
    <s v="A"/>
    <x v="2"/>
    <x v="0"/>
    <s v="Apple"/>
    <x v="3"/>
    <n v="9"/>
    <n v="144.16"/>
  </r>
  <r>
    <n v="112"/>
    <s v="A"/>
    <x v="0"/>
    <x v="0"/>
    <s v="Apple"/>
    <x v="4"/>
    <n v="9"/>
    <n v="96.69"/>
  </r>
  <r>
    <n v="113"/>
    <s v="A"/>
    <x v="2"/>
    <x v="0"/>
    <s v="Apple"/>
    <x v="4"/>
    <n v="3"/>
    <n v="67.06"/>
  </r>
  <r>
    <n v="114"/>
    <s v="A"/>
    <x v="2"/>
    <x v="0"/>
    <s v="Detergent"/>
    <x v="2"/>
    <n v="15"/>
    <n v="150.55000000000001"/>
  </r>
  <r>
    <n v="115"/>
    <s v="A"/>
    <x v="0"/>
    <x v="1"/>
    <s v="Orange Juice"/>
    <x v="0"/>
    <n v="11"/>
    <n v="56.14"/>
  </r>
  <r>
    <n v="116"/>
    <s v="A"/>
    <x v="0"/>
    <x v="1"/>
    <s v="Apple"/>
    <x v="0"/>
    <n v="19"/>
    <n v="142.51"/>
  </r>
  <r>
    <n v="117"/>
    <s v="A"/>
    <x v="2"/>
    <x v="0"/>
    <s v="Shampoo"/>
    <x v="1"/>
    <n v="18"/>
    <n v="243.64"/>
  </r>
  <r>
    <n v="118"/>
    <s v="B"/>
    <x v="1"/>
    <x v="0"/>
    <s v="Detergent"/>
    <x v="2"/>
    <n v="16"/>
    <n v="92.79"/>
  </r>
  <r>
    <n v="119"/>
    <s v="A"/>
    <x v="2"/>
    <x v="1"/>
    <s v="Apple"/>
    <x v="1"/>
    <n v="7"/>
    <n v="131.9"/>
  </r>
  <r>
    <n v="120"/>
    <s v="A"/>
    <x v="0"/>
    <x v="1"/>
    <s v="Orange Juice"/>
    <x v="4"/>
    <n v="9"/>
    <n v="44.68"/>
  </r>
  <r>
    <n v="121"/>
    <s v="B"/>
    <x v="1"/>
    <x v="0"/>
    <s v="Notebook"/>
    <x v="0"/>
    <n v="4"/>
    <n v="7.19"/>
  </r>
  <r>
    <n v="122"/>
    <s v="A"/>
    <x v="0"/>
    <x v="1"/>
    <s v="Detergent"/>
    <x v="3"/>
    <n v="12"/>
    <n v="41.09"/>
  </r>
  <r>
    <n v="123"/>
    <s v="A"/>
    <x v="2"/>
    <x v="1"/>
    <s v="Shampoo"/>
    <x v="0"/>
    <n v="11"/>
    <n v="39.19"/>
  </r>
  <r>
    <n v="124"/>
    <s v="A"/>
    <x v="0"/>
    <x v="0"/>
    <s v="Detergent"/>
    <x v="3"/>
    <n v="4"/>
    <n v="63.81"/>
  </r>
  <r>
    <n v="125"/>
    <s v="A"/>
    <x v="0"/>
    <x v="0"/>
    <s v="Shampoo"/>
    <x v="3"/>
    <n v="6"/>
    <n v="43.91"/>
  </r>
  <r>
    <n v="126"/>
    <s v="A"/>
    <x v="0"/>
    <x v="0"/>
    <s v="Detergent"/>
    <x v="2"/>
    <n v="10"/>
    <n v="217.96"/>
  </r>
  <r>
    <n v="127"/>
    <s v="A"/>
    <x v="0"/>
    <x v="1"/>
    <s v="Apple"/>
    <x v="4"/>
    <n v="10"/>
    <n v="11.66"/>
  </r>
  <r>
    <n v="128"/>
    <s v="A"/>
    <x v="2"/>
    <x v="0"/>
    <s v="Notebook"/>
    <x v="2"/>
    <n v="5"/>
    <n v="14.87"/>
  </r>
  <r>
    <n v="129"/>
    <s v="A"/>
    <x v="2"/>
    <x v="0"/>
    <s v="Shampoo"/>
    <x v="4"/>
    <n v="4"/>
    <n v="66.430000000000007"/>
  </r>
  <r>
    <n v="130"/>
    <s v="B"/>
    <x v="1"/>
    <x v="0"/>
    <s v="Shampoo"/>
    <x v="3"/>
    <n v="16"/>
    <n v="225.64"/>
  </r>
  <r>
    <n v="131"/>
    <s v="A"/>
    <x v="0"/>
    <x v="1"/>
    <s v="Shampoo"/>
    <x v="0"/>
    <n v="19"/>
    <n v="125.44"/>
  </r>
  <r>
    <n v="132"/>
    <s v="A"/>
    <x v="2"/>
    <x v="1"/>
    <s v="Orange Juice"/>
    <x v="3"/>
    <n v="17"/>
    <n v="218.46"/>
  </r>
  <r>
    <n v="133"/>
    <s v="A"/>
    <x v="2"/>
    <x v="1"/>
    <s v="Apple"/>
    <x v="2"/>
    <n v="14"/>
    <n v="258.41000000000003"/>
  </r>
  <r>
    <n v="134"/>
    <s v="A"/>
    <x v="0"/>
    <x v="0"/>
    <s v="Apple"/>
    <x v="4"/>
    <n v="11"/>
    <n v="203.03"/>
  </r>
  <r>
    <n v="135"/>
    <s v="A"/>
    <x v="0"/>
    <x v="0"/>
    <s v="Notebook"/>
    <x v="4"/>
    <n v="19"/>
    <n v="418.39"/>
  </r>
  <r>
    <n v="136"/>
    <s v="B"/>
    <x v="1"/>
    <x v="1"/>
    <s v="Apple"/>
    <x v="4"/>
    <n v="1"/>
    <n v="5.25"/>
  </r>
  <r>
    <n v="137"/>
    <s v="B"/>
    <x v="1"/>
    <x v="0"/>
    <s v="Apple"/>
    <x v="3"/>
    <n v="2"/>
    <n v="38.630000000000003"/>
  </r>
  <r>
    <n v="138"/>
    <s v="B"/>
    <x v="1"/>
    <x v="0"/>
    <s v="Notebook"/>
    <x v="3"/>
    <n v="18"/>
    <n v="89.75"/>
  </r>
  <r>
    <n v="139"/>
    <s v="A"/>
    <x v="2"/>
    <x v="0"/>
    <s v="Shampoo"/>
    <x v="2"/>
    <n v="14"/>
    <n v="73.25"/>
  </r>
  <r>
    <n v="140"/>
    <s v="B"/>
    <x v="1"/>
    <x v="0"/>
    <s v="Orange Juice"/>
    <x v="0"/>
    <n v="13"/>
    <n v="135.07"/>
  </r>
  <r>
    <n v="141"/>
    <s v="A"/>
    <x v="2"/>
    <x v="1"/>
    <s v="Notebook"/>
    <x v="2"/>
    <n v="6"/>
    <n v="22.08"/>
  </r>
  <r>
    <n v="142"/>
    <s v="A"/>
    <x v="0"/>
    <x v="0"/>
    <s v="Notebook"/>
    <x v="3"/>
    <n v="7"/>
    <n v="109.2"/>
  </r>
  <r>
    <n v="143"/>
    <s v="A"/>
    <x v="0"/>
    <x v="0"/>
    <s v="Shampoo"/>
    <x v="0"/>
    <n v="7"/>
    <n v="125.01"/>
  </r>
  <r>
    <n v="144"/>
    <s v="A"/>
    <x v="2"/>
    <x v="0"/>
    <s v="Shampoo"/>
    <x v="4"/>
    <n v="16"/>
    <n v="166.41"/>
  </r>
  <r>
    <n v="145"/>
    <s v="B"/>
    <x v="1"/>
    <x v="1"/>
    <s v="Shampoo"/>
    <x v="2"/>
    <n v="2"/>
    <n v="34.15"/>
  </r>
  <r>
    <n v="146"/>
    <s v="A"/>
    <x v="0"/>
    <x v="0"/>
    <s v="Apple"/>
    <x v="1"/>
    <n v="20"/>
    <n v="244.39"/>
  </r>
  <r>
    <n v="147"/>
    <s v="A"/>
    <x v="0"/>
    <x v="1"/>
    <s v="Notebook"/>
    <x v="4"/>
    <n v="12"/>
    <n v="64.33"/>
  </r>
  <r>
    <n v="148"/>
    <s v="A"/>
    <x v="2"/>
    <x v="0"/>
    <s v="Notebook"/>
    <x v="3"/>
    <n v="9"/>
    <n v="21.86"/>
  </r>
  <r>
    <n v="149"/>
    <s v="A"/>
    <x v="0"/>
    <x v="0"/>
    <s v="Shampoo"/>
    <x v="0"/>
    <n v="19"/>
    <n v="265.70999999999998"/>
  </r>
  <r>
    <n v="150"/>
    <s v="A"/>
    <x v="0"/>
    <x v="1"/>
    <s v="Notebook"/>
    <x v="4"/>
    <n v="14"/>
    <n v="87.33"/>
  </r>
  <r>
    <n v="151"/>
    <s v="A"/>
    <x v="2"/>
    <x v="1"/>
    <s v="Shampoo"/>
    <x v="3"/>
    <n v="14"/>
    <n v="300.5"/>
  </r>
  <r>
    <n v="152"/>
    <s v="A"/>
    <x v="2"/>
    <x v="1"/>
    <s v="Orange Juice"/>
    <x v="3"/>
    <n v="10"/>
    <n v="212.82"/>
  </r>
  <r>
    <n v="153"/>
    <s v="A"/>
    <x v="2"/>
    <x v="1"/>
    <s v="Notebook"/>
    <x v="0"/>
    <n v="19"/>
    <n v="113.03"/>
  </r>
  <r>
    <n v="154"/>
    <s v="B"/>
    <x v="1"/>
    <x v="1"/>
    <s v="Detergent"/>
    <x v="1"/>
    <n v="1"/>
    <n v="18.41"/>
  </r>
  <r>
    <n v="155"/>
    <s v="A"/>
    <x v="2"/>
    <x v="0"/>
    <s v="Apple"/>
    <x v="1"/>
    <n v="11"/>
    <n v="133.94"/>
  </r>
  <r>
    <n v="156"/>
    <s v="A"/>
    <x v="2"/>
    <x v="0"/>
    <s v="Orange Juice"/>
    <x v="1"/>
    <n v="20"/>
    <n v="114.06"/>
  </r>
  <r>
    <n v="157"/>
    <s v="A"/>
    <x v="0"/>
    <x v="1"/>
    <s v="Shampoo"/>
    <x v="4"/>
    <n v="20"/>
    <n v="402.11"/>
  </r>
  <r>
    <n v="158"/>
    <s v="A"/>
    <x v="0"/>
    <x v="1"/>
    <s v="Shampoo"/>
    <x v="2"/>
    <n v="1"/>
    <n v="20.37"/>
  </r>
  <r>
    <n v="159"/>
    <s v="A"/>
    <x v="0"/>
    <x v="1"/>
    <s v="Notebook"/>
    <x v="3"/>
    <n v="11"/>
    <n v="233.28"/>
  </r>
  <r>
    <n v="160"/>
    <s v="A"/>
    <x v="2"/>
    <x v="0"/>
    <s v="Orange Juice"/>
    <x v="3"/>
    <n v="2"/>
    <n v="19.920000000000002"/>
  </r>
  <r>
    <n v="161"/>
    <s v="A"/>
    <x v="2"/>
    <x v="0"/>
    <s v="Orange Juice"/>
    <x v="1"/>
    <n v="19"/>
    <n v="425.1"/>
  </r>
  <r>
    <n v="162"/>
    <s v="A"/>
    <x v="0"/>
    <x v="0"/>
    <s v="Shampoo"/>
    <x v="2"/>
    <n v="4"/>
    <n v="64.459999999999994"/>
  </r>
  <r>
    <n v="163"/>
    <s v="B"/>
    <x v="1"/>
    <x v="1"/>
    <s v="Orange Juice"/>
    <x v="2"/>
    <n v="11"/>
    <n v="207.27"/>
  </r>
  <r>
    <n v="164"/>
    <s v="B"/>
    <x v="1"/>
    <x v="1"/>
    <s v="Notebook"/>
    <x v="0"/>
    <n v="8"/>
    <n v="177.71"/>
  </r>
  <r>
    <n v="165"/>
    <s v="A"/>
    <x v="2"/>
    <x v="0"/>
    <s v="Detergent"/>
    <x v="1"/>
    <n v="18"/>
    <n v="229.58"/>
  </r>
  <r>
    <n v="166"/>
    <s v="B"/>
    <x v="1"/>
    <x v="1"/>
    <s v="Detergent"/>
    <x v="0"/>
    <n v="18"/>
    <n v="272.91000000000003"/>
  </r>
  <r>
    <n v="167"/>
    <s v="B"/>
    <x v="1"/>
    <x v="1"/>
    <s v="Apple"/>
    <x v="1"/>
    <n v="10"/>
    <n v="70.19"/>
  </r>
  <r>
    <n v="168"/>
    <s v="A"/>
    <x v="2"/>
    <x v="0"/>
    <s v="Detergent"/>
    <x v="4"/>
    <n v="12"/>
    <n v="123.65"/>
  </r>
  <r>
    <n v="169"/>
    <s v="A"/>
    <x v="0"/>
    <x v="0"/>
    <s v="Orange Juice"/>
    <x v="3"/>
    <n v="4"/>
    <n v="77"/>
  </r>
  <r>
    <n v="170"/>
    <s v="B"/>
    <x v="1"/>
    <x v="1"/>
    <s v="Detergent"/>
    <x v="2"/>
    <n v="12"/>
    <n v="68.819999999999993"/>
  </r>
  <r>
    <n v="171"/>
    <s v="A"/>
    <x v="0"/>
    <x v="0"/>
    <s v="Orange Juice"/>
    <x v="2"/>
    <n v="5"/>
    <n v="61.69"/>
  </r>
  <r>
    <n v="172"/>
    <s v="B"/>
    <x v="1"/>
    <x v="1"/>
    <s v="Shampoo"/>
    <x v="2"/>
    <n v="15"/>
    <n v="237.86"/>
  </r>
  <r>
    <n v="173"/>
    <s v="A"/>
    <x v="0"/>
    <x v="0"/>
    <s v="Apple"/>
    <x v="2"/>
    <n v="20"/>
    <n v="317.36"/>
  </r>
  <r>
    <n v="174"/>
    <s v="B"/>
    <x v="1"/>
    <x v="0"/>
    <s v="Shampoo"/>
    <x v="1"/>
    <n v="3"/>
    <n v="16.34"/>
  </r>
  <r>
    <n v="175"/>
    <s v="A"/>
    <x v="0"/>
    <x v="1"/>
    <s v="Detergent"/>
    <x v="3"/>
    <n v="15"/>
    <n v="277.99"/>
  </r>
  <r>
    <n v="176"/>
    <s v="B"/>
    <x v="1"/>
    <x v="0"/>
    <s v="Shampoo"/>
    <x v="2"/>
    <n v="1"/>
    <n v="15.31"/>
  </r>
  <r>
    <n v="177"/>
    <s v="B"/>
    <x v="1"/>
    <x v="0"/>
    <s v="Orange Juice"/>
    <x v="2"/>
    <n v="10"/>
    <n v="12.95"/>
  </r>
  <r>
    <n v="178"/>
    <s v="A"/>
    <x v="2"/>
    <x v="0"/>
    <s v="Notebook"/>
    <x v="0"/>
    <n v="10"/>
    <n v="126.8"/>
  </r>
  <r>
    <n v="179"/>
    <s v="A"/>
    <x v="0"/>
    <x v="0"/>
    <s v="Notebook"/>
    <x v="2"/>
    <n v="3"/>
    <n v="14.77"/>
  </r>
  <r>
    <n v="180"/>
    <s v="B"/>
    <x v="1"/>
    <x v="0"/>
    <s v="Orange Juice"/>
    <x v="3"/>
    <n v="4"/>
    <n v="29.02"/>
  </r>
  <r>
    <n v="181"/>
    <s v="B"/>
    <x v="1"/>
    <x v="0"/>
    <s v="Notebook"/>
    <x v="2"/>
    <n v="17"/>
    <n v="275.20999999999998"/>
  </r>
  <r>
    <n v="182"/>
    <s v="A"/>
    <x v="0"/>
    <x v="1"/>
    <s v="Detergent"/>
    <x v="1"/>
    <n v="8"/>
    <n v="26.88"/>
  </r>
  <r>
    <n v="183"/>
    <s v="A"/>
    <x v="2"/>
    <x v="1"/>
    <s v="Notebook"/>
    <x v="1"/>
    <n v="15"/>
    <n v="70.14"/>
  </r>
  <r>
    <n v="184"/>
    <s v="A"/>
    <x v="0"/>
    <x v="0"/>
    <s v="Shampoo"/>
    <x v="2"/>
    <n v="14"/>
    <n v="280.13"/>
  </r>
  <r>
    <n v="185"/>
    <s v="A"/>
    <x v="2"/>
    <x v="0"/>
    <s v="Notebook"/>
    <x v="4"/>
    <n v="16"/>
    <n v="327.33"/>
  </r>
  <r>
    <n v="186"/>
    <s v="B"/>
    <x v="1"/>
    <x v="0"/>
    <s v="Notebook"/>
    <x v="4"/>
    <n v="3"/>
    <n v="38.49"/>
  </r>
  <r>
    <n v="187"/>
    <s v="A"/>
    <x v="0"/>
    <x v="0"/>
    <s v="Notebook"/>
    <x v="2"/>
    <n v="15"/>
    <n v="156.01"/>
  </r>
  <r>
    <n v="188"/>
    <s v="A"/>
    <x v="2"/>
    <x v="1"/>
    <s v="Notebook"/>
    <x v="3"/>
    <n v="5"/>
    <n v="30.6"/>
  </r>
  <r>
    <n v="189"/>
    <s v="A"/>
    <x v="2"/>
    <x v="0"/>
    <s v="Shampoo"/>
    <x v="3"/>
    <n v="3"/>
    <n v="47.73"/>
  </r>
  <r>
    <n v="190"/>
    <s v="B"/>
    <x v="1"/>
    <x v="0"/>
    <s v="Shampoo"/>
    <x v="2"/>
    <n v="11"/>
    <n v="113.7"/>
  </r>
  <r>
    <n v="191"/>
    <s v="A"/>
    <x v="0"/>
    <x v="0"/>
    <s v="Orange Juice"/>
    <x v="1"/>
    <n v="13"/>
    <n v="49.66"/>
  </r>
  <r>
    <n v="192"/>
    <s v="A"/>
    <x v="0"/>
    <x v="0"/>
    <s v="Detergent"/>
    <x v="1"/>
    <n v="10"/>
    <n v="58.85"/>
  </r>
  <r>
    <n v="193"/>
    <s v="B"/>
    <x v="1"/>
    <x v="1"/>
    <s v="Apple"/>
    <x v="3"/>
    <n v="3"/>
    <n v="7.86"/>
  </r>
  <r>
    <n v="194"/>
    <s v="A"/>
    <x v="2"/>
    <x v="0"/>
    <s v="Shampoo"/>
    <x v="4"/>
    <n v="4"/>
    <n v="40.96"/>
  </r>
  <r>
    <n v="195"/>
    <s v="B"/>
    <x v="1"/>
    <x v="0"/>
    <s v="Notebook"/>
    <x v="3"/>
    <n v="4"/>
    <n v="11.17"/>
  </r>
  <r>
    <n v="196"/>
    <s v="A"/>
    <x v="0"/>
    <x v="1"/>
    <s v="Apple"/>
    <x v="2"/>
    <n v="6"/>
    <n v="57.65"/>
  </r>
  <r>
    <n v="197"/>
    <s v="A"/>
    <x v="0"/>
    <x v="0"/>
    <s v="Notebook"/>
    <x v="1"/>
    <n v="15"/>
    <n v="312.81"/>
  </r>
  <r>
    <n v="198"/>
    <s v="A"/>
    <x v="2"/>
    <x v="0"/>
    <s v="Orange Juice"/>
    <x v="0"/>
    <n v="18"/>
    <n v="130.97"/>
  </r>
  <r>
    <n v="199"/>
    <s v="B"/>
    <x v="1"/>
    <x v="0"/>
    <s v="Notebook"/>
    <x v="2"/>
    <n v="16"/>
    <n v="168.46"/>
  </r>
  <r>
    <n v="200"/>
    <s v="A"/>
    <x v="2"/>
    <x v="1"/>
    <s v="Apple"/>
    <x v="2"/>
    <n v="6"/>
    <n v="73.12"/>
  </r>
  <r>
    <n v="201"/>
    <s v="A"/>
    <x v="0"/>
    <x v="1"/>
    <s v="Detergent"/>
    <x v="0"/>
    <n v="13"/>
    <n v="115.45"/>
  </r>
  <r>
    <n v="202"/>
    <s v="A"/>
    <x v="0"/>
    <x v="0"/>
    <s v="Detergent"/>
    <x v="3"/>
    <n v="8"/>
    <n v="93.3"/>
  </r>
  <r>
    <n v="203"/>
    <s v="B"/>
    <x v="1"/>
    <x v="0"/>
    <s v="Shampoo"/>
    <x v="2"/>
    <n v="20"/>
    <n v="64.2"/>
  </r>
  <r>
    <n v="204"/>
    <s v="A"/>
    <x v="2"/>
    <x v="0"/>
    <s v="Detergent"/>
    <x v="3"/>
    <n v="10"/>
    <n v="176.55"/>
  </r>
  <r>
    <n v="205"/>
    <s v="A"/>
    <x v="0"/>
    <x v="1"/>
    <s v="Orange Juice"/>
    <x v="0"/>
    <n v="5"/>
    <n v="107.32"/>
  </r>
  <r>
    <n v="206"/>
    <s v="A"/>
    <x v="0"/>
    <x v="1"/>
    <s v="Shampoo"/>
    <x v="3"/>
    <n v="7"/>
    <n v="80.37"/>
  </r>
  <r>
    <n v="207"/>
    <s v="B"/>
    <x v="1"/>
    <x v="1"/>
    <s v="Detergent"/>
    <x v="1"/>
    <n v="18"/>
    <n v="162.94"/>
  </r>
  <r>
    <n v="208"/>
    <s v="A"/>
    <x v="0"/>
    <x v="0"/>
    <s v="Shampoo"/>
    <x v="2"/>
    <n v="20"/>
    <n v="144.66"/>
  </r>
  <r>
    <n v="209"/>
    <s v="B"/>
    <x v="1"/>
    <x v="1"/>
    <s v="Orange Juice"/>
    <x v="0"/>
    <n v="7"/>
    <n v="65.239999999999995"/>
  </r>
  <r>
    <n v="210"/>
    <s v="B"/>
    <x v="1"/>
    <x v="0"/>
    <s v="Notebook"/>
    <x v="4"/>
    <n v="18"/>
    <n v="133.09"/>
  </r>
  <r>
    <n v="211"/>
    <s v="A"/>
    <x v="2"/>
    <x v="0"/>
    <s v="Notebook"/>
    <x v="1"/>
    <n v="15"/>
    <n v="259.69"/>
  </r>
  <r>
    <n v="212"/>
    <s v="A"/>
    <x v="2"/>
    <x v="0"/>
    <s v="Detergent"/>
    <x v="1"/>
    <n v="17"/>
    <n v="227.38"/>
  </r>
  <r>
    <n v="213"/>
    <s v="A"/>
    <x v="0"/>
    <x v="1"/>
    <s v="Orange Juice"/>
    <x v="2"/>
    <n v="16"/>
    <n v="300.45999999999998"/>
  </r>
  <r>
    <n v="214"/>
    <s v="A"/>
    <x v="0"/>
    <x v="1"/>
    <s v="Notebook"/>
    <x v="3"/>
    <n v="1"/>
    <n v="18.82"/>
  </r>
  <r>
    <n v="215"/>
    <s v="B"/>
    <x v="1"/>
    <x v="0"/>
    <s v="Notebook"/>
    <x v="4"/>
    <n v="19"/>
    <n v="136.21"/>
  </r>
  <r>
    <n v="216"/>
    <s v="A"/>
    <x v="0"/>
    <x v="0"/>
    <s v="Shampoo"/>
    <x v="2"/>
    <n v="2"/>
    <n v="39.270000000000003"/>
  </r>
  <r>
    <n v="217"/>
    <s v="A"/>
    <x v="0"/>
    <x v="1"/>
    <s v="Orange Juice"/>
    <x v="1"/>
    <n v="16"/>
    <n v="121.38"/>
  </r>
  <r>
    <n v="218"/>
    <s v="A"/>
    <x v="2"/>
    <x v="0"/>
    <s v="Detergent"/>
    <x v="3"/>
    <n v="9"/>
    <n v="192.21"/>
  </r>
  <r>
    <n v="219"/>
    <s v="B"/>
    <x v="1"/>
    <x v="1"/>
    <s v="Shampoo"/>
    <x v="1"/>
    <n v="16"/>
    <n v="51.53"/>
  </r>
  <r>
    <n v="220"/>
    <s v="A"/>
    <x v="0"/>
    <x v="0"/>
    <s v="Detergent"/>
    <x v="2"/>
    <n v="13"/>
    <n v="66.77"/>
  </r>
  <r>
    <n v="221"/>
    <s v="B"/>
    <x v="1"/>
    <x v="1"/>
    <s v="Orange Juice"/>
    <x v="0"/>
    <n v="17"/>
    <n v="106.59"/>
  </r>
  <r>
    <n v="222"/>
    <s v="B"/>
    <x v="1"/>
    <x v="0"/>
    <s v="Orange Juice"/>
    <x v="0"/>
    <n v="19"/>
    <n v="356.79"/>
  </r>
  <r>
    <n v="223"/>
    <s v="A"/>
    <x v="0"/>
    <x v="0"/>
    <s v="Shampoo"/>
    <x v="1"/>
    <n v="5"/>
    <n v="77.41"/>
  </r>
  <r>
    <n v="224"/>
    <s v="A"/>
    <x v="2"/>
    <x v="0"/>
    <s v="Orange Juice"/>
    <x v="0"/>
    <n v="14"/>
    <n v="118.49"/>
  </r>
  <r>
    <n v="225"/>
    <s v="A"/>
    <x v="2"/>
    <x v="0"/>
    <s v="Apple"/>
    <x v="1"/>
    <n v="19"/>
    <n v="103.89"/>
  </r>
  <r>
    <n v="226"/>
    <s v="A"/>
    <x v="2"/>
    <x v="0"/>
    <s v="Shampoo"/>
    <x v="2"/>
    <n v="16"/>
    <n v="301.64999999999998"/>
  </r>
  <r>
    <n v="227"/>
    <s v="A"/>
    <x v="0"/>
    <x v="0"/>
    <s v="Shampoo"/>
    <x v="4"/>
    <n v="3"/>
    <n v="41.06"/>
  </r>
  <r>
    <n v="228"/>
    <s v="A"/>
    <x v="0"/>
    <x v="1"/>
    <s v="Apple"/>
    <x v="0"/>
    <n v="1"/>
    <n v="10.26"/>
  </r>
  <r>
    <n v="229"/>
    <s v="A"/>
    <x v="0"/>
    <x v="1"/>
    <s v="Notebook"/>
    <x v="2"/>
    <n v="14"/>
    <n v="38.65"/>
  </r>
  <r>
    <n v="230"/>
    <s v="A"/>
    <x v="0"/>
    <x v="1"/>
    <s v="Shampoo"/>
    <x v="3"/>
    <n v="12"/>
    <n v="193.63"/>
  </r>
  <r>
    <n v="231"/>
    <s v="A"/>
    <x v="0"/>
    <x v="0"/>
    <s v="Shampoo"/>
    <x v="3"/>
    <n v="1"/>
    <n v="11.13"/>
  </r>
  <r>
    <n v="232"/>
    <s v="A"/>
    <x v="2"/>
    <x v="1"/>
    <s v="Shampoo"/>
    <x v="3"/>
    <n v="4"/>
    <n v="4.58"/>
  </r>
  <r>
    <n v="233"/>
    <s v="A"/>
    <x v="0"/>
    <x v="1"/>
    <s v="Shampoo"/>
    <x v="0"/>
    <n v="6"/>
    <n v="18.170000000000002"/>
  </r>
  <r>
    <n v="234"/>
    <s v="A"/>
    <x v="2"/>
    <x v="0"/>
    <s v="Notebook"/>
    <x v="2"/>
    <n v="5"/>
    <n v="24.77"/>
  </r>
  <r>
    <n v="235"/>
    <s v="A"/>
    <x v="0"/>
    <x v="1"/>
    <s v="Apple"/>
    <x v="3"/>
    <n v="2"/>
    <n v="27.35"/>
  </r>
  <r>
    <n v="236"/>
    <s v="A"/>
    <x v="2"/>
    <x v="0"/>
    <s v="Apple"/>
    <x v="3"/>
    <n v="16"/>
    <n v="197.91"/>
  </r>
  <r>
    <n v="237"/>
    <s v="B"/>
    <x v="1"/>
    <x v="1"/>
    <s v="Detergent"/>
    <x v="3"/>
    <n v="8"/>
    <n v="154.94"/>
  </r>
  <r>
    <n v="238"/>
    <s v="A"/>
    <x v="0"/>
    <x v="0"/>
    <s v="Shampoo"/>
    <x v="4"/>
    <n v="1"/>
    <n v="8.1300000000000008"/>
  </r>
  <r>
    <n v="239"/>
    <s v="A"/>
    <x v="2"/>
    <x v="0"/>
    <s v="Shampoo"/>
    <x v="4"/>
    <n v="15"/>
    <n v="318.58999999999997"/>
  </r>
  <r>
    <n v="240"/>
    <s v="B"/>
    <x v="1"/>
    <x v="1"/>
    <s v="Shampoo"/>
    <x v="2"/>
    <n v="16"/>
    <n v="184.38"/>
  </r>
  <r>
    <n v="241"/>
    <s v="B"/>
    <x v="1"/>
    <x v="1"/>
    <s v="Shampoo"/>
    <x v="3"/>
    <n v="10"/>
    <n v="38.630000000000003"/>
  </r>
  <r>
    <n v="242"/>
    <s v="A"/>
    <x v="0"/>
    <x v="1"/>
    <s v="Shampoo"/>
    <x v="1"/>
    <n v="13"/>
    <n v="94.17"/>
  </r>
  <r>
    <n v="243"/>
    <s v="A"/>
    <x v="2"/>
    <x v="1"/>
    <s v="Shampoo"/>
    <x v="0"/>
    <n v="6"/>
    <n v="65.61"/>
  </r>
  <r>
    <n v="244"/>
    <s v="B"/>
    <x v="1"/>
    <x v="1"/>
    <s v="Apple"/>
    <x v="0"/>
    <n v="15"/>
    <n v="200.14"/>
  </r>
  <r>
    <n v="245"/>
    <s v="A"/>
    <x v="2"/>
    <x v="1"/>
    <s v="Shampoo"/>
    <x v="3"/>
    <n v="16"/>
    <n v="266.04000000000002"/>
  </r>
  <r>
    <n v="246"/>
    <s v="A"/>
    <x v="0"/>
    <x v="0"/>
    <s v="Notebook"/>
    <x v="4"/>
    <n v="9"/>
    <n v="176.23"/>
  </r>
  <r>
    <n v="247"/>
    <s v="A"/>
    <x v="2"/>
    <x v="1"/>
    <s v="Detergent"/>
    <x v="4"/>
    <n v="3"/>
    <n v="28.28"/>
  </r>
  <r>
    <n v="248"/>
    <s v="A"/>
    <x v="0"/>
    <x v="0"/>
    <s v="Apple"/>
    <x v="2"/>
    <n v="17"/>
    <n v="246.11"/>
  </r>
  <r>
    <n v="249"/>
    <s v="A"/>
    <x v="0"/>
    <x v="1"/>
    <s v="Detergent"/>
    <x v="0"/>
    <n v="19"/>
    <n v="195.37"/>
  </r>
  <r>
    <n v="250"/>
    <s v="B"/>
    <x v="1"/>
    <x v="0"/>
    <s v="Apple"/>
    <x v="4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81A13-E3D8-4681-9D8B-3323EAF278A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6" firstHeaderRow="0" firstDataRow="1" firstDataCol="1"/>
  <pivotFields count="8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6" baseField="0" baseItem="0"/>
    <dataField name="Sum of total_price" fld="7" baseField="0" baseItem="0"/>
    <dataField name="Average of total_price2" fld="7" subtotal="average" baseField="3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36999-F925-44AA-B070-E167CCA3D1C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9" firstHeaderRow="0" firstDataRow="1" firstDataCol="1"/>
  <pivotFields count="8"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dataField="1"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" fld="7" baseField="5" baseItem="0"/>
    <dataField name="Sales Quantity" fld="6" baseField="5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F7583-CC5A-470A-91C3-60D647AB889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7" firstHeaderRow="0" firstDataRow="1" firstDataCol="1"/>
  <pivotFields count="8"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 Quantity" fld="6" baseField="2" baseItem="0"/>
    <dataField name="Revenue" fld="7" baseField="2" baseItem="0"/>
    <dataField name="Number of customers" fld="0" subtotal="count" baseField="2" baseItem="0"/>
  </dataFields>
  <formats count="6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E5D6F-6E26-4F09-A715-F123D896CFAC}" name="SalesTable" displayName="SalesTable" ref="A1:H240" totalsRowShown="0" headerRowDxfId="37" dataDxfId="36">
  <autoFilter ref="A1:H240" xr:uid="{747E5D6F-6E26-4F09-A715-F123D896CFAC}"/>
  <tableColumns count="8">
    <tableColumn id="1" xr3:uid="{E3575B4C-EA52-4D22-8047-D94D05C96FEE}" name="sale_id" dataDxfId="45"/>
    <tableColumn id="2" xr3:uid="{8CE10BBF-0C62-4C8B-9676-073F0B74287A}" name="branch" dataDxfId="44"/>
    <tableColumn id="3" xr3:uid="{F92BFDB4-DC83-4505-B832-93FE54454BEF}" name="city" dataDxfId="43"/>
    <tableColumn id="4" xr3:uid="{7B907A7E-D290-4254-AC39-869B86F04A13}" name="customer_type" dataDxfId="42"/>
    <tableColumn id="5" xr3:uid="{95D90601-6943-4439-B776-2AF03C8C9D6E}" name="product_name" dataDxfId="41"/>
    <tableColumn id="6" xr3:uid="{7B37C0BE-DC90-4DD9-9751-04D65FA2C556}" name="product_category" dataDxfId="40"/>
    <tableColumn id="7" xr3:uid="{10300063-36DD-487B-A963-9734AA9D0F24}" name="quantity" dataDxfId="39"/>
    <tableColumn id="8" xr3:uid="{B84D9AFD-7726-4563-BF47-180B655496DF}" name="total_price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2C7C-66A4-4640-9A38-137F43179691}">
  <dimension ref="A3:D6"/>
  <sheetViews>
    <sheetView workbookViewId="0">
      <selection sqref="A1:XFD1048576"/>
    </sheetView>
  </sheetViews>
  <sheetFormatPr defaultRowHeight="14" x14ac:dyDescent="0.3"/>
  <cols>
    <col min="1" max="1" width="12.453125" style="1" bestFit="1" customWidth="1"/>
    <col min="2" max="2" width="14.08984375" style="1" bestFit="1" customWidth="1"/>
    <col min="3" max="3" width="16" style="1" bestFit="1" customWidth="1"/>
    <col min="4" max="4" width="19.81640625" style="1" bestFit="1" customWidth="1"/>
    <col min="5" max="16384" width="8.7265625" style="1"/>
  </cols>
  <sheetData>
    <row r="3" spans="1:4" x14ac:dyDescent="0.3">
      <c r="A3" s="9" t="s">
        <v>39</v>
      </c>
      <c r="B3" s="1" t="s">
        <v>42</v>
      </c>
      <c r="C3" s="1" t="s">
        <v>41</v>
      </c>
      <c r="D3" s="1" t="s">
        <v>43</v>
      </c>
    </row>
    <row r="4" spans="1:4" x14ac:dyDescent="0.3">
      <c r="A4" s="10" t="s">
        <v>10</v>
      </c>
      <c r="B4" s="11">
        <v>1429</v>
      </c>
      <c r="C4" s="11">
        <v>17614.079999999994</v>
      </c>
      <c r="D4" s="11">
        <v>138.69354330708657</v>
      </c>
    </row>
    <row r="5" spans="1:4" x14ac:dyDescent="0.3">
      <c r="A5" s="10" t="s">
        <v>15</v>
      </c>
      <c r="B5" s="11">
        <v>1147</v>
      </c>
      <c r="C5" s="11">
        <v>12748.86</v>
      </c>
      <c r="D5" s="11">
        <v>113.82910714285715</v>
      </c>
    </row>
    <row r="6" spans="1:4" x14ac:dyDescent="0.3">
      <c r="A6" s="10" t="s">
        <v>40</v>
      </c>
      <c r="B6" s="11">
        <v>2576</v>
      </c>
      <c r="C6" s="11">
        <v>30362.94</v>
      </c>
      <c r="D6" s="11">
        <v>127.04158995815899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6B9D-07C9-4A64-A6FC-1A2A65D05364}">
  <dimension ref="A3:D18"/>
  <sheetViews>
    <sheetView workbookViewId="0">
      <selection sqref="A1:XFD1048576"/>
    </sheetView>
  </sheetViews>
  <sheetFormatPr defaultRowHeight="14" x14ac:dyDescent="0.3"/>
  <cols>
    <col min="1" max="1" width="12.453125" style="1" bestFit="1" customWidth="1"/>
    <col min="2" max="2" width="8.81640625" style="1" bestFit="1" customWidth="1"/>
    <col min="3" max="3" width="13" style="1" bestFit="1" customWidth="1"/>
    <col min="4" max="16384" width="8.7265625" style="1"/>
  </cols>
  <sheetData>
    <row r="3" spans="1:3" x14ac:dyDescent="0.3">
      <c r="A3" s="9" t="s">
        <v>39</v>
      </c>
      <c r="B3" s="1" t="s">
        <v>44</v>
      </c>
      <c r="C3" s="1" t="s">
        <v>45</v>
      </c>
    </row>
    <row r="4" spans="1:3" x14ac:dyDescent="0.3">
      <c r="A4" s="10" t="s">
        <v>24</v>
      </c>
      <c r="B4" s="11">
        <v>6463.1699999999983</v>
      </c>
      <c r="C4" s="11">
        <v>507</v>
      </c>
    </row>
    <row r="5" spans="1:3" x14ac:dyDescent="0.3">
      <c r="A5" s="10" t="s">
        <v>19</v>
      </c>
      <c r="B5" s="11">
        <v>7450.119999999999</v>
      </c>
      <c r="C5" s="11">
        <v>632</v>
      </c>
    </row>
    <row r="6" spans="1:3" x14ac:dyDescent="0.3">
      <c r="A6" s="10" t="s">
        <v>22</v>
      </c>
      <c r="B6" s="11">
        <v>5684.81</v>
      </c>
      <c r="C6" s="11">
        <v>461</v>
      </c>
    </row>
    <row r="7" spans="1:3" x14ac:dyDescent="0.3">
      <c r="A7" s="10" t="s">
        <v>12</v>
      </c>
      <c r="B7" s="11">
        <v>4509.59</v>
      </c>
      <c r="C7" s="11">
        <v>423</v>
      </c>
    </row>
    <row r="8" spans="1:3" x14ac:dyDescent="0.3">
      <c r="A8" s="10" t="s">
        <v>17</v>
      </c>
      <c r="B8" s="11">
        <v>6255.25</v>
      </c>
      <c r="C8" s="11">
        <v>553</v>
      </c>
    </row>
    <row r="9" spans="1:3" x14ac:dyDescent="0.3">
      <c r="A9" s="10" t="s">
        <v>40</v>
      </c>
      <c r="B9" s="11">
        <v>30362.94</v>
      </c>
      <c r="C9" s="11">
        <v>2576</v>
      </c>
    </row>
    <row r="18" spans="4:4" x14ac:dyDescent="0.3">
      <c r="D18" s="1" t="s">
        <v>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8481-D91B-4A01-B8EF-D3B6B508A309}">
  <dimension ref="A3:E21"/>
  <sheetViews>
    <sheetView zoomScale="87" workbookViewId="0">
      <selection sqref="A1:XFD1048576"/>
    </sheetView>
  </sheetViews>
  <sheetFormatPr defaultRowHeight="14" x14ac:dyDescent="0.3"/>
  <cols>
    <col min="1" max="1" width="13.6328125" style="1" bestFit="1" customWidth="1"/>
    <col min="2" max="2" width="13.36328125" style="1" bestFit="1" customWidth="1"/>
    <col min="3" max="3" width="9.26953125" style="1" bestFit="1" customWidth="1"/>
    <col min="4" max="4" width="19.453125" style="1" bestFit="1" customWidth="1"/>
    <col min="5" max="16384" width="8.7265625" style="1"/>
  </cols>
  <sheetData>
    <row r="3" spans="1:4" x14ac:dyDescent="0.3">
      <c r="A3" s="9" t="s">
        <v>39</v>
      </c>
      <c r="B3" s="1" t="s">
        <v>45</v>
      </c>
      <c r="C3" s="1" t="s">
        <v>44</v>
      </c>
      <c r="D3" s="1" t="s">
        <v>46</v>
      </c>
    </row>
    <row r="4" spans="1:4" x14ac:dyDescent="0.3">
      <c r="A4" s="10" t="s">
        <v>20</v>
      </c>
      <c r="B4" s="11">
        <v>830</v>
      </c>
      <c r="C4" s="11">
        <v>10813.939999999999</v>
      </c>
      <c r="D4" s="11">
        <v>72</v>
      </c>
    </row>
    <row r="5" spans="1:4" x14ac:dyDescent="0.3">
      <c r="A5" s="10" t="s">
        <v>14</v>
      </c>
      <c r="B5" s="11">
        <v>844</v>
      </c>
      <c r="C5" s="11">
        <v>8935.3099999999959</v>
      </c>
      <c r="D5" s="11">
        <v>77</v>
      </c>
    </row>
    <row r="6" spans="1:4" x14ac:dyDescent="0.3">
      <c r="A6" s="10" t="s">
        <v>9</v>
      </c>
      <c r="B6" s="11">
        <v>902</v>
      </c>
      <c r="C6" s="11">
        <v>10613.689999999997</v>
      </c>
      <c r="D6" s="11">
        <v>90</v>
      </c>
    </row>
    <row r="7" spans="1:4" x14ac:dyDescent="0.3">
      <c r="A7" s="10" t="s">
        <v>40</v>
      </c>
      <c r="B7" s="11">
        <v>2576</v>
      </c>
      <c r="C7" s="11">
        <v>30362.939999999981</v>
      </c>
      <c r="D7" s="11">
        <v>239</v>
      </c>
    </row>
    <row r="21" spans="5:5" x14ac:dyDescent="0.3">
      <c r="E21" s="1" t="s">
        <v>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1E40-D343-40CD-8F14-EB9CB35AB374}">
  <dimension ref="A1:H240"/>
  <sheetViews>
    <sheetView tabSelected="1" topLeftCell="A2" zoomScaleNormal="100" workbookViewId="0">
      <selection activeCell="E12" sqref="E12"/>
    </sheetView>
  </sheetViews>
  <sheetFormatPr defaultRowHeight="14" x14ac:dyDescent="0.3"/>
  <cols>
    <col min="1" max="2" width="8.7265625" style="1" customWidth="1"/>
    <col min="3" max="3" width="11.26953125" style="1" bestFit="1" customWidth="1"/>
    <col min="4" max="4" width="15.1796875" style="1" customWidth="1"/>
    <col min="5" max="5" width="14.90625" style="1" customWidth="1"/>
    <col min="6" max="6" width="17.26953125" style="1" customWidth="1"/>
    <col min="7" max="7" width="9.81640625" style="1" customWidth="1"/>
    <col min="8" max="8" width="11.7265625" style="1" customWidth="1"/>
    <col min="9" max="16384" width="8.7265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3</v>
      </c>
      <c r="H2" s="1">
        <v>17.66</v>
      </c>
    </row>
    <row r="3" spans="1:8" x14ac:dyDescent="0.3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>
        <v>10</v>
      </c>
      <c r="H3" s="1">
        <v>29.43</v>
      </c>
    </row>
    <row r="4" spans="1:8" x14ac:dyDescent="0.3">
      <c r="A4" s="1">
        <v>3</v>
      </c>
      <c r="B4" s="1" t="s">
        <v>8</v>
      </c>
      <c r="C4" s="1" t="s">
        <v>9</v>
      </c>
      <c r="D4" s="1" t="s">
        <v>10</v>
      </c>
      <c r="E4" s="1" t="s">
        <v>18</v>
      </c>
      <c r="F4" s="1" t="s">
        <v>19</v>
      </c>
      <c r="G4" s="1">
        <v>15</v>
      </c>
      <c r="H4" s="1">
        <v>19.260000000000002</v>
      </c>
    </row>
    <row r="5" spans="1:8" x14ac:dyDescent="0.3">
      <c r="A5" s="1">
        <v>4</v>
      </c>
      <c r="B5" s="1" t="s">
        <v>8</v>
      </c>
      <c r="C5" s="1" t="s">
        <v>20</v>
      </c>
      <c r="D5" s="1" t="s">
        <v>15</v>
      </c>
      <c r="E5" s="1" t="s">
        <v>21</v>
      </c>
      <c r="F5" s="1" t="s">
        <v>22</v>
      </c>
      <c r="G5" s="1">
        <v>5</v>
      </c>
      <c r="H5" s="1">
        <v>41.73</v>
      </c>
    </row>
    <row r="6" spans="1:8" x14ac:dyDescent="0.3">
      <c r="A6" s="1">
        <v>5</v>
      </c>
      <c r="B6" s="1" t="s">
        <v>13</v>
      </c>
      <c r="C6" s="1" t="s">
        <v>14</v>
      </c>
      <c r="D6" s="1" t="s">
        <v>10</v>
      </c>
      <c r="E6" s="1" t="s">
        <v>23</v>
      </c>
      <c r="F6" s="1" t="s">
        <v>24</v>
      </c>
      <c r="G6" s="1">
        <v>7</v>
      </c>
      <c r="H6" s="1">
        <v>26.22</v>
      </c>
    </row>
    <row r="7" spans="1:8" x14ac:dyDescent="0.3">
      <c r="A7" s="1">
        <v>6</v>
      </c>
      <c r="B7" s="1" t="s">
        <v>8</v>
      </c>
      <c r="C7" s="1" t="s">
        <v>20</v>
      </c>
      <c r="D7" s="1" t="s">
        <v>15</v>
      </c>
      <c r="E7" s="1" t="s">
        <v>11</v>
      </c>
      <c r="F7" s="1" t="s">
        <v>17</v>
      </c>
      <c r="G7" s="1">
        <v>9</v>
      </c>
      <c r="H7" s="1">
        <v>108.24</v>
      </c>
    </row>
    <row r="8" spans="1:8" x14ac:dyDescent="0.3">
      <c r="A8" s="1">
        <v>7</v>
      </c>
      <c r="B8" s="1" t="s">
        <v>8</v>
      </c>
      <c r="C8" s="1" t="s">
        <v>20</v>
      </c>
      <c r="D8" s="1" t="s">
        <v>15</v>
      </c>
      <c r="E8" s="1" t="s">
        <v>11</v>
      </c>
      <c r="F8" s="1" t="s">
        <v>12</v>
      </c>
      <c r="G8" s="1">
        <v>1</v>
      </c>
      <c r="H8" s="1">
        <v>11.46</v>
      </c>
    </row>
    <row r="9" spans="1:8" x14ac:dyDescent="0.3">
      <c r="A9" s="1">
        <v>8</v>
      </c>
      <c r="B9" s="1" t="s">
        <v>13</v>
      </c>
      <c r="C9" s="1" t="s">
        <v>14</v>
      </c>
      <c r="D9" s="1" t="s">
        <v>15</v>
      </c>
      <c r="E9" s="1" t="s">
        <v>11</v>
      </c>
      <c r="F9" s="1" t="s">
        <v>22</v>
      </c>
      <c r="G9" s="1">
        <v>9</v>
      </c>
      <c r="H9" s="1">
        <v>175.55</v>
      </c>
    </row>
    <row r="10" spans="1:8" x14ac:dyDescent="0.3">
      <c r="A10" s="1">
        <v>9</v>
      </c>
      <c r="B10" s="1" t="s">
        <v>8</v>
      </c>
      <c r="C10" s="1" t="s">
        <v>20</v>
      </c>
      <c r="D10" s="1" t="s">
        <v>10</v>
      </c>
      <c r="E10" s="1" t="s">
        <v>18</v>
      </c>
      <c r="F10" s="1" t="s">
        <v>19</v>
      </c>
      <c r="G10" s="1">
        <v>20</v>
      </c>
      <c r="H10" s="1">
        <v>302.81</v>
      </c>
    </row>
    <row r="11" spans="1:8" x14ac:dyDescent="0.3">
      <c r="A11" s="1">
        <v>10</v>
      </c>
      <c r="B11" s="1" t="s">
        <v>13</v>
      </c>
      <c r="C11" s="1" t="s">
        <v>14</v>
      </c>
      <c r="D11" s="1" t="s">
        <v>10</v>
      </c>
      <c r="E11" s="1" t="s">
        <v>11</v>
      </c>
      <c r="F11" s="1" t="s">
        <v>19</v>
      </c>
      <c r="G11" s="1">
        <v>19</v>
      </c>
      <c r="H11" s="1">
        <v>374.48</v>
      </c>
    </row>
    <row r="12" spans="1:8" x14ac:dyDescent="0.3">
      <c r="A12" s="1">
        <v>11</v>
      </c>
      <c r="B12" s="1" t="s">
        <v>8</v>
      </c>
      <c r="C12" s="1" t="s">
        <v>20</v>
      </c>
      <c r="D12" s="1" t="s">
        <v>15</v>
      </c>
      <c r="E12" s="1" t="s">
        <v>21</v>
      </c>
      <c r="F12" s="1" t="s">
        <v>24</v>
      </c>
      <c r="G12" s="1">
        <v>7</v>
      </c>
      <c r="H12" s="1">
        <v>69.81</v>
      </c>
    </row>
    <row r="13" spans="1:8" x14ac:dyDescent="0.3">
      <c r="A13" s="1">
        <v>13</v>
      </c>
      <c r="B13" s="1" t="s">
        <v>8</v>
      </c>
      <c r="C13" s="1" t="s">
        <v>9</v>
      </c>
      <c r="D13" s="1" t="s">
        <v>15</v>
      </c>
      <c r="E13" s="1" t="s">
        <v>23</v>
      </c>
      <c r="F13" s="1" t="s">
        <v>22</v>
      </c>
      <c r="G13" s="1">
        <v>4</v>
      </c>
      <c r="H13" s="1">
        <v>14.08</v>
      </c>
    </row>
    <row r="14" spans="1:8" x14ac:dyDescent="0.3">
      <c r="A14" s="1">
        <v>12</v>
      </c>
      <c r="B14" s="1" t="s">
        <v>13</v>
      </c>
      <c r="C14" s="1" t="s">
        <v>14</v>
      </c>
      <c r="D14" s="1" t="s">
        <v>10</v>
      </c>
      <c r="E14" s="1" t="s">
        <v>23</v>
      </c>
      <c r="F14" s="1" t="s">
        <v>22</v>
      </c>
      <c r="G14" s="1">
        <v>12</v>
      </c>
      <c r="H14" s="1">
        <v>88.47</v>
      </c>
    </row>
    <row r="15" spans="1:8" x14ac:dyDescent="0.3">
      <c r="A15" s="1">
        <v>14</v>
      </c>
      <c r="B15" s="1" t="s">
        <v>13</v>
      </c>
      <c r="C15" s="1" t="s">
        <v>14</v>
      </c>
      <c r="D15" s="1" t="s">
        <v>10</v>
      </c>
      <c r="E15" s="1" t="s">
        <v>18</v>
      </c>
      <c r="F15" s="1" t="s">
        <v>19</v>
      </c>
      <c r="G15" s="1">
        <v>5</v>
      </c>
      <c r="H15" s="1">
        <v>47.13</v>
      </c>
    </row>
    <row r="16" spans="1:8" x14ac:dyDescent="0.3">
      <c r="A16" s="1">
        <v>15</v>
      </c>
      <c r="B16" s="1" t="s">
        <v>13</v>
      </c>
      <c r="C16" s="1" t="s">
        <v>14</v>
      </c>
      <c r="D16" s="1" t="s">
        <v>15</v>
      </c>
      <c r="E16" s="1" t="s">
        <v>18</v>
      </c>
      <c r="F16" s="1" t="s">
        <v>24</v>
      </c>
      <c r="G16" s="1">
        <v>3</v>
      </c>
      <c r="H16" s="1">
        <v>62.53</v>
      </c>
    </row>
    <row r="17" spans="1:8" x14ac:dyDescent="0.3">
      <c r="A17" s="1">
        <v>16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>
        <v>8</v>
      </c>
      <c r="H17" s="1">
        <v>47.51</v>
      </c>
    </row>
    <row r="18" spans="1:8" x14ac:dyDescent="0.3">
      <c r="A18" s="1">
        <v>17</v>
      </c>
      <c r="B18" s="1" t="s">
        <v>13</v>
      </c>
      <c r="C18" s="1" t="s">
        <v>14</v>
      </c>
      <c r="D18" s="1" t="s">
        <v>10</v>
      </c>
      <c r="E18" s="1" t="s">
        <v>18</v>
      </c>
      <c r="F18" s="1" t="s">
        <v>12</v>
      </c>
      <c r="G18" s="1">
        <v>2</v>
      </c>
      <c r="H18" s="1">
        <v>4.5599999999999996</v>
      </c>
    </row>
    <row r="19" spans="1:8" x14ac:dyDescent="0.3">
      <c r="A19" s="1">
        <v>18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19</v>
      </c>
      <c r="G19" s="1">
        <v>15</v>
      </c>
      <c r="H19" s="1">
        <v>212.82</v>
      </c>
    </row>
    <row r="20" spans="1:8" x14ac:dyDescent="0.3">
      <c r="A20" s="1">
        <v>19</v>
      </c>
      <c r="B20" s="1" t="s">
        <v>8</v>
      </c>
      <c r="C20" s="1" t="s">
        <v>9</v>
      </c>
      <c r="D20" s="1" t="s">
        <v>10</v>
      </c>
      <c r="E20" s="1" t="s">
        <v>18</v>
      </c>
      <c r="F20" s="1" t="s">
        <v>24</v>
      </c>
      <c r="G20" s="1">
        <v>2</v>
      </c>
      <c r="H20" s="1">
        <v>41.92</v>
      </c>
    </row>
    <row r="21" spans="1:8" x14ac:dyDescent="0.3">
      <c r="A21" s="1">
        <v>21</v>
      </c>
      <c r="B21" s="1" t="s">
        <v>13</v>
      </c>
      <c r="C21" s="1" t="s">
        <v>14</v>
      </c>
      <c r="D21" s="1" t="s">
        <v>15</v>
      </c>
      <c r="E21" s="1" t="s">
        <v>11</v>
      </c>
      <c r="F21" s="1" t="s">
        <v>12</v>
      </c>
      <c r="G21" s="1">
        <v>11</v>
      </c>
      <c r="H21" s="1">
        <v>51.32</v>
      </c>
    </row>
    <row r="22" spans="1:8" x14ac:dyDescent="0.3">
      <c r="A22" s="1">
        <v>22</v>
      </c>
      <c r="B22" s="1" t="s">
        <v>13</v>
      </c>
      <c r="C22" s="1" t="s">
        <v>14</v>
      </c>
      <c r="D22" s="1" t="s">
        <v>15</v>
      </c>
      <c r="E22" s="1" t="s">
        <v>23</v>
      </c>
      <c r="F22" s="1" t="s">
        <v>24</v>
      </c>
      <c r="G22" s="1">
        <v>1</v>
      </c>
      <c r="H22" s="1">
        <v>7.28</v>
      </c>
    </row>
    <row r="23" spans="1:8" x14ac:dyDescent="0.3">
      <c r="A23" s="1">
        <v>23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24</v>
      </c>
      <c r="G23" s="1">
        <v>16</v>
      </c>
      <c r="H23" s="1">
        <v>33.380000000000003</v>
      </c>
    </row>
    <row r="24" spans="1:8" x14ac:dyDescent="0.3">
      <c r="A24" s="1">
        <v>24</v>
      </c>
      <c r="B24" s="1" t="s">
        <v>8</v>
      </c>
      <c r="C24" s="1" t="s">
        <v>20</v>
      </c>
      <c r="D24" s="1" t="s">
        <v>15</v>
      </c>
      <c r="E24" s="1" t="s">
        <v>18</v>
      </c>
      <c r="F24" s="1" t="s">
        <v>19</v>
      </c>
      <c r="G24" s="1">
        <v>2</v>
      </c>
      <c r="H24" s="1">
        <v>40.770000000000003</v>
      </c>
    </row>
    <row r="25" spans="1:8" x14ac:dyDescent="0.3">
      <c r="A25" s="1">
        <v>25</v>
      </c>
      <c r="B25" s="1" t="s">
        <v>13</v>
      </c>
      <c r="C25" s="1" t="s">
        <v>14</v>
      </c>
      <c r="D25" s="1" t="s">
        <v>10</v>
      </c>
      <c r="E25" s="1" t="s">
        <v>21</v>
      </c>
      <c r="F25" s="1" t="s">
        <v>24</v>
      </c>
      <c r="G25" s="1">
        <v>18</v>
      </c>
      <c r="H25" s="1">
        <v>218.22</v>
      </c>
    </row>
    <row r="26" spans="1:8" x14ac:dyDescent="0.3">
      <c r="A26" s="1">
        <v>26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19</v>
      </c>
      <c r="G26" s="1">
        <v>16</v>
      </c>
      <c r="H26" s="1">
        <v>238.65</v>
      </c>
    </row>
    <row r="27" spans="1:8" x14ac:dyDescent="0.3">
      <c r="A27" s="1">
        <v>27</v>
      </c>
      <c r="B27" s="1" t="s">
        <v>8</v>
      </c>
      <c r="C27" s="1" t="s">
        <v>9</v>
      </c>
      <c r="D27" s="1" t="s">
        <v>10</v>
      </c>
      <c r="E27" s="1" t="s">
        <v>21</v>
      </c>
      <c r="F27" s="1" t="s">
        <v>22</v>
      </c>
      <c r="G27" s="1">
        <v>2</v>
      </c>
      <c r="H27" s="1">
        <v>20.440000000000001</v>
      </c>
    </row>
    <row r="28" spans="1:8" x14ac:dyDescent="0.3">
      <c r="A28" s="1">
        <v>28</v>
      </c>
      <c r="B28" s="1" t="s">
        <v>8</v>
      </c>
      <c r="C28" s="1" t="s">
        <v>9</v>
      </c>
      <c r="D28" s="1" t="s">
        <v>10</v>
      </c>
      <c r="E28" s="1" t="s">
        <v>21</v>
      </c>
      <c r="F28" s="1" t="s">
        <v>12</v>
      </c>
      <c r="G28" s="1">
        <v>17</v>
      </c>
      <c r="H28" s="1">
        <v>299.41000000000003</v>
      </c>
    </row>
    <row r="29" spans="1:8" x14ac:dyDescent="0.3">
      <c r="A29" s="1">
        <v>29</v>
      </c>
      <c r="B29" s="1" t="s">
        <v>13</v>
      </c>
      <c r="C29" s="1" t="s">
        <v>14</v>
      </c>
      <c r="D29" s="1" t="s">
        <v>10</v>
      </c>
      <c r="E29" s="1" t="s">
        <v>11</v>
      </c>
      <c r="F29" s="1" t="s">
        <v>17</v>
      </c>
      <c r="G29" s="1">
        <v>17</v>
      </c>
      <c r="H29" s="1">
        <v>223.74</v>
      </c>
    </row>
    <row r="30" spans="1:8" x14ac:dyDescent="0.3">
      <c r="A30" s="1">
        <v>33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>
        <v>17</v>
      </c>
      <c r="H30" s="1">
        <v>126.24</v>
      </c>
    </row>
    <row r="31" spans="1:8" x14ac:dyDescent="0.3">
      <c r="A31" s="1">
        <v>34</v>
      </c>
      <c r="B31" s="1" t="s">
        <v>13</v>
      </c>
      <c r="C31" s="1" t="s">
        <v>14</v>
      </c>
      <c r="D31" s="1" t="s">
        <v>15</v>
      </c>
      <c r="E31" s="1" t="s">
        <v>23</v>
      </c>
      <c r="F31" s="1" t="s">
        <v>22</v>
      </c>
      <c r="G31" s="1">
        <v>9</v>
      </c>
      <c r="H31" s="1">
        <v>78.290000000000006</v>
      </c>
    </row>
    <row r="32" spans="1:8" x14ac:dyDescent="0.3">
      <c r="A32" s="1">
        <v>36</v>
      </c>
      <c r="B32" s="1" t="s">
        <v>8</v>
      </c>
      <c r="C32" s="1" t="s">
        <v>9</v>
      </c>
      <c r="D32" s="1" t="s">
        <v>10</v>
      </c>
      <c r="E32" s="1" t="s">
        <v>21</v>
      </c>
      <c r="F32" s="1" t="s">
        <v>12</v>
      </c>
      <c r="G32" s="1">
        <v>15</v>
      </c>
      <c r="H32" s="1">
        <v>210.9</v>
      </c>
    </row>
    <row r="33" spans="1:8" x14ac:dyDescent="0.3">
      <c r="A33" s="1">
        <v>37</v>
      </c>
      <c r="B33" s="1" t="s">
        <v>13</v>
      </c>
      <c r="C33" s="1" t="s">
        <v>14</v>
      </c>
      <c r="D33" s="1" t="s">
        <v>10</v>
      </c>
      <c r="E33" s="1" t="s">
        <v>11</v>
      </c>
      <c r="F33" s="1" t="s">
        <v>19</v>
      </c>
      <c r="G33" s="1">
        <v>16</v>
      </c>
      <c r="H33" s="1">
        <v>190.72</v>
      </c>
    </row>
    <row r="34" spans="1:8" x14ac:dyDescent="0.3">
      <c r="A34" s="1">
        <v>38</v>
      </c>
      <c r="B34" s="1" t="s">
        <v>13</v>
      </c>
      <c r="C34" s="1" t="s">
        <v>14</v>
      </c>
      <c r="D34" s="1" t="s">
        <v>10</v>
      </c>
      <c r="E34" s="1" t="s">
        <v>16</v>
      </c>
      <c r="F34" s="1" t="s">
        <v>24</v>
      </c>
      <c r="G34" s="1">
        <v>14</v>
      </c>
      <c r="H34" s="1">
        <v>81.19</v>
      </c>
    </row>
    <row r="35" spans="1:8" x14ac:dyDescent="0.3">
      <c r="A35" s="1">
        <v>40</v>
      </c>
      <c r="B35" s="1" t="s">
        <v>8</v>
      </c>
      <c r="C35" s="1" t="s">
        <v>9</v>
      </c>
      <c r="D35" s="1" t="s">
        <v>15</v>
      </c>
      <c r="E35" s="1" t="s">
        <v>18</v>
      </c>
      <c r="F35" s="1" t="s">
        <v>19</v>
      </c>
      <c r="G35" s="1">
        <v>11</v>
      </c>
      <c r="H35" s="1">
        <v>13.77</v>
      </c>
    </row>
    <row r="36" spans="1:8" x14ac:dyDescent="0.3">
      <c r="A36" s="1">
        <v>39</v>
      </c>
      <c r="B36" s="1" t="s">
        <v>8</v>
      </c>
      <c r="C36" s="1" t="s">
        <v>9</v>
      </c>
      <c r="D36" s="1" t="s">
        <v>10</v>
      </c>
      <c r="E36" s="1" t="s">
        <v>16</v>
      </c>
      <c r="F36" s="1" t="s">
        <v>24</v>
      </c>
      <c r="G36" s="1">
        <v>15</v>
      </c>
      <c r="H36" s="1">
        <v>246.21</v>
      </c>
    </row>
    <row r="37" spans="1:8" x14ac:dyDescent="0.3">
      <c r="A37" s="1">
        <v>41</v>
      </c>
      <c r="B37" s="1" t="s">
        <v>8</v>
      </c>
      <c r="C37" s="1" t="s">
        <v>9</v>
      </c>
      <c r="D37" s="1" t="s">
        <v>10</v>
      </c>
      <c r="E37" s="1" t="s">
        <v>16</v>
      </c>
      <c r="F37" s="1" t="s">
        <v>22</v>
      </c>
      <c r="G37" s="1">
        <v>10</v>
      </c>
      <c r="H37" s="1">
        <v>115.56</v>
      </c>
    </row>
    <row r="38" spans="1:8" x14ac:dyDescent="0.3">
      <c r="A38" s="1">
        <v>42</v>
      </c>
      <c r="B38" s="1" t="s">
        <v>8</v>
      </c>
      <c r="C38" s="1" t="s">
        <v>9</v>
      </c>
      <c r="D38" s="1" t="s">
        <v>15</v>
      </c>
      <c r="E38" s="1" t="s">
        <v>18</v>
      </c>
      <c r="F38" s="1" t="s">
        <v>22</v>
      </c>
      <c r="G38" s="1">
        <v>12</v>
      </c>
      <c r="H38" s="1">
        <v>140.97999999999999</v>
      </c>
    </row>
    <row r="39" spans="1:8" x14ac:dyDescent="0.3">
      <c r="A39" s="1">
        <v>43</v>
      </c>
      <c r="B39" s="1" t="s">
        <v>8</v>
      </c>
      <c r="C39" s="1" t="s">
        <v>9</v>
      </c>
      <c r="D39" s="1" t="s">
        <v>15</v>
      </c>
      <c r="E39" s="1" t="s">
        <v>16</v>
      </c>
      <c r="F39" s="1" t="s">
        <v>19</v>
      </c>
      <c r="G39" s="1">
        <v>2</v>
      </c>
      <c r="H39" s="1">
        <v>8.92</v>
      </c>
    </row>
    <row r="40" spans="1:8" x14ac:dyDescent="0.3">
      <c r="A40" s="1">
        <v>45</v>
      </c>
      <c r="B40" s="1" t="s">
        <v>13</v>
      </c>
      <c r="C40" s="1" t="s">
        <v>14</v>
      </c>
      <c r="D40" s="1" t="s">
        <v>10</v>
      </c>
      <c r="E40" s="1" t="s">
        <v>11</v>
      </c>
      <c r="F40" s="1" t="s">
        <v>22</v>
      </c>
      <c r="G40" s="1">
        <v>8</v>
      </c>
      <c r="H40" s="1">
        <v>134.65</v>
      </c>
    </row>
    <row r="41" spans="1:8" x14ac:dyDescent="0.3">
      <c r="A41" s="1">
        <v>46</v>
      </c>
      <c r="B41" s="1" t="s">
        <v>8</v>
      </c>
      <c r="C41" s="1" t="s">
        <v>9</v>
      </c>
      <c r="D41" s="1" t="s">
        <v>10</v>
      </c>
      <c r="E41" s="1" t="s">
        <v>11</v>
      </c>
      <c r="F41" s="1" t="s">
        <v>19</v>
      </c>
      <c r="G41" s="1">
        <v>8</v>
      </c>
      <c r="H41" s="1">
        <v>136.53</v>
      </c>
    </row>
    <row r="42" spans="1:8" x14ac:dyDescent="0.3">
      <c r="A42" s="1">
        <v>47</v>
      </c>
      <c r="B42" s="1" t="s">
        <v>8</v>
      </c>
      <c r="C42" s="1" t="s">
        <v>9</v>
      </c>
      <c r="D42" s="1" t="s">
        <v>15</v>
      </c>
      <c r="E42" s="1" t="s">
        <v>11</v>
      </c>
      <c r="F42" s="1" t="s">
        <v>17</v>
      </c>
      <c r="G42" s="1">
        <v>8</v>
      </c>
      <c r="H42" s="1">
        <v>10.96</v>
      </c>
    </row>
    <row r="43" spans="1:8" x14ac:dyDescent="0.3">
      <c r="A43" s="1">
        <v>48</v>
      </c>
      <c r="B43" s="1" t="s">
        <v>13</v>
      </c>
      <c r="C43" s="1" t="s">
        <v>14</v>
      </c>
      <c r="D43" s="1" t="s">
        <v>15</v>
      </c>
      <c r="E43" s="1" t="s">
        <v>21</v>
      </c>
      <c r="F43" s="1" t="s">
        <v>12</v>
      </c>
      <c r="G43" s="1">
        <v>20</v>
      </c>
      <c r="H43" s="1">
        <v>213.57</v>
      </c>
    </row>
    <row r="44" spans="1:8" x14ac:dyDescent="0.3">
      <c r="A44" s="1">
        <v>50</v>
      </c>
      <c r="B44" s="1" t="s">
        <v>8</v>
      </c>
      <c r="C44" s="1" t="s">
        <v>20</v>
      </c>
      <c r="D44" s="1" t="s">
        <v>15</v>
      </c>
      <c r="E44" s="1" t="s">
        <v>18</v>
      </c>
      <c r="F44" s="1" t="s">
        <v>17</v>
      </c>
      <c r="G44" s="1">
        <v>19</v>
      </c>
      <c r="H44" s="1">
        <v>335.45</v>
      </c>
    </row>
    <row r="45" spans="1:8" x14ac:dyDescent="0.3">
      <c r="A45" s="1">
        <v>51</v>
      </c>
      <c r="B45" s="1" t="s">
        <v>8</v>
      </c>
      <c r="C45" s="1" t="s">
        <v>20</v>
      </c>
      <c r="D45" s="1" t="s">
        <v>15</v>
      </c>
      <c r="E45" s="1" t="s">
        <v>21</v>
      </c>
      <c r="F45" s="1" t="s">
        <v>17</v>
      </c>
      <c r="G45" s="1">
        <v>19</v>
      </c>
      <c r="H45" s="1">
        <v>346.02</v>
      </c>
    </row>
    <row r="46" spans="1:8" x14ac:dyDescent="0.3">
      <c r="A46" s="1">
        <v>52</v>
      </c>
      <c r="B46" s="1" t="s">
        <v>8</v>
      </c>
      <c r="C46" s="1" t="s">
        <v>20</v>
      </c>
      <c r="D46" s="1" t="s">
        <v>10</v>
      </c>
      <c r="E46" s="1" t="s">
        <v>23</v>
      </c>
      <c r="F46" s="1" t="s">
        <v>19</v>
      </c>
      <c r="G46" s="1">
        <v>5</v>
      </c>
      <c r="H46" s="1">
        <v>59.71</v>
      </c>
    </row>
    <row r="47" spans="1:8" x14ac:dyDescent="0.3">
      <c r="A47" s="1">
        <v>53</v>
      </c>
      <c r="B47" s="1" t="s">
        <v>13</v>
      </c>
      <c r="C47" s="1" t="s">
        <v>14</v>
      </c>
      <c r="D47" s="1" t="s">
        <v>15</v>
      </c>
      <c r="E47" s="1" t="s">
        <v>23</v>
      </c>
      <c r="F47" s="1" t="s">
        <v>19</v>
      </c>
      <c r="G47" s="1">
        <v>1</v>
      </c>
      <c r="H47" s="1">
        <v>20.39</v>
      </c>
    </row>
    <row r="48" spans="1:8" x14ac:dyDescent="0.3">
      <c r="A48" s="1">
        <v>54</v>
      </c>
      <c r="B48" s="1" t="s">
        <v>8</v>
      </c>
      <c r="C48" s="1" t="s">
        <v>9</v>
      </c>
      <c r="D48" s="1" t="s">
        <v>15</v>
      </c>
      <c r="E48" s="1" t="s">
        <v>23</v>
      </c>
      <c r="F48" s="1" t="s">
        <v>19</v>
      </c>
      <c r="G48" s="1">
        <v>14</v>
      </c>
      <c r="H48" s="1">
        <v>70.11</v>
      </c>
    </row>
    <row r="49" spans="1:8" x14ac:dyDescent="0.3">
      <c r="A49" s="1">
        <v>55</v>
      </c>
      <c r="B49" s="1" t="s">
        <v>13</v>
      </c>
      <c r="C49" s="1" t="s">
        <v>14</v>
      </c>
      <c r="D49" s="1" t="s">
        <v>10</v>
      </c>
      <c r="E49" s="1" t="s">
        <v>16</v>
      </c>
      <c r="F49" s="1" t="s">
        <v>22</v>
      </c>
      <c r="G49" s="1">
        <v>13</v>
      </c>
      <c r="H49" s="1">
        <v>216.58</v>
      </c>
    </row>
    <row r="50" spans="1:8" x14ac:dyDescent="0.3">
      <c r="A50" s="1">
        <v>56</v>
      </c>
      <c r="B50" s="1" t="s">
        <v>8</v>
      </c>
      <c r="C50" s="1" t="s">
        <v>20</v>
      </c>
      <c r="D50" s="1" t="s">
        <v>10</v>
      </c>
      <c r="E50" s="1" t="s">
        <v>11</v>
      </c>
      <c r="F50" s="1" t="s">
        <v>12</v>
      </c>
      <c r="G50" s="1">
        <v>10</v>
      </c>
      <c r="H50" s="1">
        <v>212.5</v>
      </c>
    </row>
    <row r="51" spans="1:8" x14ac:dyDescent="0.3">
      <c r="A51" s="1">
        <v>57</v>
      </c>
      <c r="B51" s="1" t="s">
        <v>8</v>
      </c>
      <c r="C51" s="1" t="s">
        <v>20</v>
      </c>
      <c r="D51" s="1" t="s">
        <v>10</v>
      </c>
      <c r="E51" s="1" t="s">
        <v>23</v>
      </c>
      <c r="F51" s="1" t="s">
        <v>24</v>
      </c>
      <c r="G51" s="1">
        <v>19</v>
      </c>
      <c r="H51" s="1">
        <v>414.94</v>
      </c>
    </row>
    <row r="52" spans="1:8" x14ac:dyDescent="0.3">
      <c r="A52" s="1">
        <v>58</v>
      </c>
      <c r="B52" s="1" t="s">
        <v>8</v>
      </c>
      <c r="C52" s="1" t="s">
        <v>20</v>
      </c>
      <c r="D52" s="1" t="s">
        <v>15</v>
      </c>
      <c r="E52" s="1" t="s">
        <v>16</v>
      </c>
      <c r="F52" s="1" t="s">
        <v>19</v>
      </c>
      <c r="G52" s="1">
        <v>20</v>
      </c>
      <c r="H52" s="1">
        <v>427.14</v>
      </c>
    </row>
    <row r="53" spans="1:8" x14ac:dyDescent="0.3">
      <c r="A53" s="1">
        <v>59</v>
      </c>
      <c r="B53" s="1" t="s">
        <v>8</v>
      </c>
      <c r="C53" s="1" t="s">
        <v>20</v>
      </c>
      <c r="D53" s="1" t="s">
        <v>10</v>
      </c>
      <c r="E53" s="1" t="s">
        <v>21</v>
      </c>
      <c r="F53" s="1" t="s">
        <v>17</v>
      </c>
      <c r="G53" s="1">
        <v>20</v>
      </c>
      <c r="H53" s="1">
        <v>331.27</v>
      </c>
    </row>
    <row r="54" spans="1:8" x14ac:dyDescent="0.3">
      <c r="A54" s="1">
        <v>60</v>
      </c>
      <c r="B54" s="1" t="s">
        <v>8</v>
      </c>
      <c r="C54" s="1" t="s">
        <v>20</v>
      </c>
      <c r="D54" s="1" t="s">
        <v>10</v>
      </c>
      <c r="E54" s="1" t="s">
        <v>16</v>
      </c>
      <c r="F54" s="1" t="s">
        <v>17</v>
      </c>
      <c r="G54" s="1">
        <v>4</v>
      </c>
      <c r="H54" s="1">
        <v>59.88</v>
      </c>
    </row>
    <row r="55" spans="1:8" x14ac:dyDescent="0.3">
      <c r="A55" s="1">
        <v>62</v>
      </c>
      <c r="B55" s="1" t="s">
        <v>8</v>
      </c>
      <c r="C55" s="1" t="s">
        <v>20</v>
      </c>
      <c r="D55" s="1" t="s">
        <v>10</v>
      </c>
      <c r="E55" s="1" t="s">
        <v>23</v>
      </c>
      <c r="F55" s="1" t="s">
        <v>24</v>
      </c>
      <c r="G55" s="1">
        <v>14</v>
      </c>
      <c r="H55" s="1">
        <v>287.47000000000003</v>
      </c>
    </row>
    <row r="56" spans="1:8" x14ac:dyDescent="0.3">
      <c r="A56" s="1">
        <v>63</v>
      </c>
      <c r="B56" s="1" t="s">
        <v>8</v>
      </c>
      <c r="C56" s="1" t="s">
        <v>9</v>
      </c>
      <c r="D56" s="1" t="s">
        <v>10</v>
      </c>
      <c r="E56" s="1" t="s">
        <v>16</v>
      </c>
      <c r="F56" s="1" t="s">
        <v>17</v>
      </c>
      <c r="G56" s="1">
        <v>19</v>
      </c>
      <c r="H56" s="1">
        <v>258.8</v>
      </c>
    </row>
    <row r="57" spans="1:8" x14ac:dyDescent="0.3">
      <c r="A57" s="1">
        <v>64</v>
      </c>
      <c r="B57" s="1" t="s">
        <v>8</v>
      </c>
      <c r="C57" s="1" t="s">
        <v>20</v>
      </c>
      <c r="D57" s="1" t="s">
        <v>10</v>
      </c>
      <c r="E57" s="1" t="s">
        <v>21</v>
      </c>
      <c r="F57" s="1" t="s">
        <v>22</v>
      </c>
      <c r="G57" s="1">
        <v>10</v>
      </c>
      <c r="H57" s="1">
        <v>121.23</v>
      </c>
    </row>
    <row r="58" spans="1:8" x14ac:dyDescent="0.3">
      <c r="A58" s="1">
        <v>65</v>
      </c>
      <c r="B58" s="1" t="s">
        <v>8</v>
      </c>
      <c r="C58" s="1" t="s">
        <v>9</v>
      </c>
      <c r="D58" s="1" t="s">
        <v>15</v>
      </c>
      <c r="E58" s="1" t="s">
        <v>23</v>
      </c>
      <c r="F58" s="1" t="s">
        <v>22</v>
      </c>
      <c r="G58" s="1">
        <v>12</v>
      </c>
      <c r="H58" s="1">
        <v>112.74</v>
      </c>
    </row>
    <row r="59" spans="1:8" x14ac:dyDescent="0.3">
      <c r="A59" s="1">
        <v>66</v>
      </c>
      <c r="B59" s="1" t="s">
        <v>8</v>
      </c>
      <c r="C59" s="1" t="s">
        <v>9</v>
      </c>
      <c r="D59" s="1" t="s">
        <v>10</v>
      </c>
      <c r="E59" s="1" t="s">
        <v>16</v>
      </c>
      <c r="F59" s="1" t="s">
        <v>12</v>
      </c>
      <c r="G59" s="1">
        <v>2</v>
      </c>
      <c r="H59" s="1">
        <v>21.94</v>
      </c>
    </row>
    <row r="60" spans="1:8" x14ac:dyDescent="0.3">
      <c r="A60" s="1">
        <v>67</v>
      </c>
      <c r="B60" s="1" t="s">
        <v>13</v>
      </c>
      <c r="C60" s="1" t="s">
        <v>14</v>
      </c>
      <c r="D60" s="1" t="s">
        <v>10</v>
      </c>
      <c r="E60" s="1" t="s">
        <v>16</v>
      </c>
      <c r="F60" s="1" t="s">
        <v>17</v>
      </c>
      <c r="G60" s="1">
        <v>8</v>
      </c>
      <c r="H60" s="1">
        <v>89.62</v>
      </c>
    </row>
    <row r="61" spans="1:8" x14ac:dyDescent="0.3">
      <c r="A61" s="1">
        <v>69</v>
      </c>
      <c r="B61" s="1" t="s">
        <v>8</v>
      </c>
      <c r="C61" s="1" t="s">
        <v>20</v>
      </c>
      <c r="D61" s="1" t="s">
        <v>10</v>
      </c>
      <c r="E61" s="1" t="s">
        <v>18</v>
      </c>
      <c r="F61" s="1" t="s">
        <v>12</v>
      </c>
      <c r="G61" s="1">
        <v>16</v>
      </c>
      <c r="H61" s="1">
        <v>20.03</v>
      </c>
    </row>
    <row r="62" spans="1:8" x14ac:dyDescent="0.3">
      <c r="A62" s="1">
        <v>70</v>
      </c>
      <c r="B62" s="1" t="s">
        <v>13</v>
      </c>
      <c r="C62" s="1" t="s">
        <v>14</v>
      </c>
      <c r="D62" s="1" t="s">
        <v>15</v>
      </c>
      <c r="E62" s="1" t="s">
        <v>11</v>
      </c>
      <c r="F62" s="1" t="s">
        <v>17</v>
      </c>
      <c r="G62" s="1">
        <v>14</v>
      </c>
      <c r="H62" s="1">
        <v>41.49</v>
      </c>
    </row>
    <row r="63" spans="1:8" x14ac:dyDescent="0.3">
      <c r="A63" s="1">
        <v>71</v>
      </c>
      <c r="B63" s="1" t="s">
        <v>8</v>
      </c>
      <c r="C63" s="1" t="s">
        <v>20</v>
      </c>
      <c r="D63" s="1" t="s">
        <v>15</v>
      </c>
      <c r="E63" s="1" t="s">
        <v>23</v>
      </c>
      <c r="F63" s="1" t="s">
        <v>17</v>
      </c>
      <c r="G63" s="1">
        <v>2</v>
      </c>
      <c r="H63" s="1">
        <v>27.46</v>
      </c>
    </row>
    <row r="64" spans="1:8" x14ac:dyDescent="0.3">
      <c r="A64" s="1">
        <v>72</v>
      </c>
      <c r="B64" s="1" t="s">
        <v>8</v>
      </c>
      <c r="C64" s="1" t="s">
        <v>9</v>
      </c>
      <c r="D64" s="1" t="s">
        <v>15</v>
      </c>
      <c r="E64" s="1" t="s">
        <v>18</v>
      </c>
      <c r="F64" s="1" t="s">
        <v>19</v>
      </c>
      <c r="G64" s="1">
        <v>11</v>
      </c>
      <c r="H64" s="1">
        <v>167.25</v>
      </c>
    </row>
    <row r="65" spans="1:8" x14ac:dyDescent="0.3">
      <c r="A65" s="1">
        <v>73</v>
      </c>
      <c r="B65" s="1" t="s">
        <v>8</v>
      </c>
      <c r="C65" s="1" t="s">
        <v>20</v>
      </c>
      <c r="D65" s="1" t="s">
        <v>15</v>
      </c>
      <c r="E65" s="1" t="s">
        <v>21</v>
      </c>
      <c r="F65" s="1" t="s">
        <v>19</v>
      </c>
      <c r="G65" s="1">
        <v>20</v>
      </c>
      <c r="H65" s="1">
        <v>155.58000000000001</v>
      </c>
    </row>
    <row r="66" spans="1:8" x14ac:dyDescent="0.3">
      <c r="A66" s="1">
        <v>74</v>
      </c>
      <c r="B66" s="1" t="s">
        <v>8</v>
      </c>
      <c r="C66" s="1" t="s">
        <v>9</v>
      </c>
      <c r="D66" s="1" t="s">
        <v>15</v>
      </c>
      <c r="E66" s="1" t="s">
        <v>11</v>
      </c>
      <c r="F66" s="1" t="s">
        <v>17</v>
      </c>
      <c r="G66" s="1">
        <v>2</v>
      </c>
      <c r="H66" s="1">
        <v>43.38</v>
      </c>
    </row>
    <row r="67" spans="1:8" x14ac:dyDescent="0.3">
      <c r="A67" s="1">
        <v>75</v>
      </c>
      <c r="B67" s="1" t="s">
        <v>8</v>
      </c>
      <c r="C67" s="1" t="s">
        <v>9</v>
      </c>
      <c r="D67" s="1" t="s">
        <v>15</v>
      </c>
      <c r="E67" s="1" t="s">
        <v>23</v>
      </c>
      <c r="F67" s="1" t="s">
        <v>19</v>
      </c>
      <c r="G67" s="1">
        <v>11</v>
      </c>
      <c r="H67" s="1">
        <v>101.46</v>
      </c>
    </row>
    <row r="68" spans="1:8" x14ac:dyDescent="0.3">
      <c r="A68" s="1">
        <v>76</v>
      </c>
      <c r="B68" s="1" t="s">
        <v>8</v>
      </c>
      <c r="C68" s="1" t="s">
        <v>9</v>
      </c>
      <c r="D68" s="1" t="s">
        <v>15</v>
      </c>
      <c r="E68" s="1" t="s">
        <v>11</v>
      </c>
      <c r="F68" s="1" t="s">
        <v>12</v>
      </c>
      <c r="G68" s="1">
        <v>8</v>
      </c>
      <c r="H68" s="1">
        <v>163.84</v>
      </c>
    </row>
    <row r="69" spans="1:8" x14ac:dyDescent="0.3">
      <c r="A69" s="1">
        <v>77</v>
      </c>
      <c r="B69" s="1" t="s">
        <v>13</v>
      </c>
      <c r="C69" s="1" t="s">
        <v>14</v>
      </c>
      <c r="D69" s="1" t="s">
        <v>15</v>
      </c>
      <c r="E69" s="1" t="s">
        <v>23</v>
      </c>
      <c r="F69" s="1" t="s">
        <v>17</v>
      </c>
      <c r="G69" s="1">
        <v>10</v>
      </c>
      <c r="H69" s="1">
        <v>108.71</v>
      </c>
    </row>
    <row r="70" spans="1:8" x14ac:dyDescent="0.3">
      <c r="A70" s="1">
        <v>78</v>
      </c>
      <c r="B70" s="1" t="s">
        <v>8</v>
      </c>
      <c r="C70" s="1" t="s">
        <v>20</v>
      </c>
      <c r="D70" s="1" t="s">
        <v>15</v>
      </c>
      <c r="E70" s="1" t="s">
        <v>18</v>
      </c>
      <c r="F70" s="1" t="s">
        <v>24</v>
      </c>
      <c r="G70" s="1">
        <v>20</v>
      </c>
      <c r="H70" s="1">
        <v>144.02000000000001</v>
      </c>
    </row>
    <row r="71" spans="1:8" x14ac:dyDescent="0.3">
      <c r="A71" s="1">
        <v>79</v>
      </c>
      <c r="B71" s="1" t="s">
        <v>13</v>
      </c>
      <c r="C71" s="1" t="s">
        <v>14</v>
      </c>
      <c r="D71" s="1" t="s">
        <v>15</v>
      </c>
      <c r="E71" s="1" t="s">
        <v>16</v>
      </c>
      <c r="F71" s="1" t="s">
        <v>24</v>
      </c>
      <c r="G71" s="1">
        <v>11</v>
      </c>
      <c r="H71" s="1">
        <v>166.9</v>
      </c>
    </row>
    <row r="72" spans="1:8" x14ac:dyDescent="0.3">
      <c r="A72" s="1">
        <v>80</v>
      </c>
      <c r="B72" s="1" t="s">
        <v>8</v>
      </c>
      <c r="C72" s="1" t="s">
        <v>9</v>
      </c>
      <c r="D72" s="1" t="s">
        <v>10</v>
      </c>
      <c r="E72" s="1" t="s">
        <v>16</v>
      </c>
      <c r="F72" s="1" t="s">
        <v>17</v>
      </c>
      <c r="G72" s="1">
        <v>16</v>
      </c>
      <c r="H72" s="1">
        <v>284.19</v>
      </c>
    </row>
    <row r="73" spans="1:8" x14ac:dyDescent="0.3">
      <c r="A73" s="1">
        <v>81</v>
      </c>
      <c r="B73" s="1" t="s">
        <v>8</v>
      </c>
      <c r="C73" s="1" t="s">
        <v>20</v>
      </c>
      <c r="D73" s="1" t="s">
        <v>15</v>
      </c>
      <c r="E73" s="1" t="s">
        <v>23</v>
      </c>
      <c r="F73" s="1" t="s">
        <v>22</v>
      </c>
      <c r="G73" s="1">
        <v>20</v>
      </c>
      <c r="H73" s="1">
        <v>285.89999999999998</v>
      </c>
    </row>
    <row r="74" spans="1:8" x14ac:dyDescent="0.3">
      <c r="A74" s="1">
        <v>82</v>
      </c>
      <c r="B74" s="1" t="s">
        <v>8</v>
      </c>
      <c r="C74" s="1" t="s">
        <v>20</v>
      </c>
      <c r="D74" s="1" t="s">
        <v>10</v>
      </c>
      <c r="E74" s="1" t="s">
        <v>23</v>
      </c>
      <c r="F74" s="1" t="s">
        <v>19</v>
      </c>
      <c r="G74" s="1">
        <v>15</v>
      </c>
      <c r="H74" s="1">
        <v>225.34</v>
      </c>
    </row>
    <row r="75" spans="1:8" x14ac:dyDescent="0.3">
      <c r="A75" s="1">
        <v>83</v>
      </c>
      <c r="B75" s="1" t="s">
        <v>13</v>
      </c>
      <c r="C75" s="1" t="s">
        <v>14</v>
      </c>
      <c r="D75" s="1" t="s">
        <v>15</v>
      </c>
      <c r="E75" s="1" t="s">
        <v>23</v>
      </c>
      <c r="F75" s="1" t="s">
        <v>22</v>
      </c>
      <c r="G75" s="1">
        <v>8</v>
      </c>
      <c r="H75" s="1">
        <v>118.9</v>
      </c>
    </row>
    <row r="76" spans="1:8" x14ac:dyDescent="0.3">
      <c r="A76" s="1">
        <v>84</v>
      </c>
      <c r="B76" s="1" t="s">
        <v>8</v>
      </c>
      <c r="C76" s="1" t="s">
        <v>9</v>
      </c>
      <c r="D76" s="1" t="s">
        <v>10</v>
      </c>
      <c r="E76" s="1" t="s">
        <v>16</v>
      </c>
      <c r="F76" s="1" t="s">
        <v>24</v>
      </c>
      <c r="G76" s="1">
        <v>10</v>
      </c>
      <c r="H76" s="1">
        <v>187.89</v>
      </c>
    </row>
    <row r="77" spans="1:8" x14ac:dyDescent="0.3">
      <c r="A77" s="1">
        <v>85</v>
      </c>
      <c r="B77" s="1" t="s">
        <v>8</v>
      </c>
      <c r="C77" s="1" t="s">
        <v>20</v>
      </c>
      <c r="D77" s="1" t="s">
        <v>15</v>
      </c>
      <c r="E77" s="1" t="s">
        <v>21</v>
      </c>
      <c r="F77" s="1" t="s">
        <v>22</v>
      </c>
      <c r="G77" s="1">
        <v>13</v>
      </c>
      <c r="H77" s="1">
        <v>52.72</v>
      </c>
    </row>
    <row r="78" spans="1:8" x14ac:dyDescent="0.3">
      <c r="A78" s="1">
        <v>86</v>
      </c>
      <c r="B78" s="1" t="s">
        <v>13</v>
      </c>
      <c r="C78" s="1" t="s">
        <v>14</v>
      </c>
      <c r="D78" s="1" t="s">
        <v>15</v>
      </c>
      <c r="E78" s="1" t="s">
        <v>23</v>
      </c>
      <c r="F78" s="1" t="s">
        <v>24</v>
      </c>
      <c r="G78" s="1">
        <v>10</v>
      </c>
      <c r="H78" s="1">
        <v>53.5</v>
      </c>
    </row>
    <row r="79" spans="1:8" x14ac:dyDescent="0.3">
      <c r="A79" s="1">
        <v>88</v>
      </c>
      <c r="B79" s="1" t="s">
        <v>8</v>
      </c>
      <c r="C79" s="1" t="s">
        <v>9</v>
      </c>
      <c r="D79" s="1" t="s">
        <v>15</v>
      </c>
      <c r="E79" s="1" t="s">
        <v>23</v>
      </c>
      <c r="F79" s="1" t="s">
        <v>17</v>
      </c>
      <c r="G79" s="1">
        <v>8</v>
      </c>
      <c r="H79" s="1">
        <v>118.73</v>
      </c>
    </row>
    <row r="80" spans="1:8" x14ac:dyDescent="0.3">
      <c r="A80" s="1">
        <v>89</v>
      </c>
      <c r="B80" s="1" t="s">
        <v>8</v>
      </c>
      <c r="C80" s="1" t="s">
        <v>20</v>
      </c>
      <c r="D80" s="1" t="s">
        <v>15</v>
      </c>
      <c r="E80" s="1" t="s">
        <v>21</v>
      </c>
      <c r="F80" s="1" t="s">
        <v>24</v>
      </c>
      <c r="G80" s="1">
        <v>2</v>
      </c>
      <c r="H80" s="1">
        <v>41.97</v>
      </c>
    </row>
    <row r="81" spans="1:8" x14ac:dyDescent="0.3">
      <c r="A81" s="1">
        <v>90</v>
      </c>
      <c r="B81" s="1" t="s">
        <v>13</v>
      </c>
      <c r="C81" s="1" t="s">
        <v>14</v>
      </c>
      <c r="D81" s="1" t="s">
        <v>15</v>
      </c>
      <c r="E81" s="1" t="s">
        <v>16</v>
      </c>
      <c r="F81" s="1" t="s">
        <v>22</v>
      </c>
      <c r="G81" s="1">
        <v>10</v>
      </c>
      <c r="H81" s="1">
        <v>114.6</v>
      </c>
    </row>
    <row r="82" spans="1:8" x14ac:dyDescent="0.3">
      <c r="A82" s="1">
        <v>91</v>
      </c>
      <c r="B82" s="1" t="s">
        <v>8</v>
      </c>
      <c r="C82" s="1" t="s">
        <v>20</v>
      </c>
      <c r="D82" s="1" t="s">
        <v>10</v>
      </c>
      <c r="E82" s="1" t="s">
        <v>23</v>
      </c>
      <c r="F82" s="1" t="s">
        <v>22</v>
      </c>
      <c r="G82" s="1">
        <v>3</v>
      </c>
      <c r="H82" s="1">
        <v>59.61</v>
      </c>
    </row>
    <row r="83" spans="1:8" x14ac:dyDescent="0.3">
      <c r="A83" s="1">
        <v>92</v>
      </c>
      <c r="B83" s="1" t="s">
        <v>13</v>
      </c>
      <c r="C83" s="1" t="s">
        <v>14</v>
      </c>
      <c r="D83" s="1" t="s">
        <v>10</v>
      </c>
      <c r="E83" s="1" t="s">
        <v>16</v>
      </c>
      <c r="F83" s="1" t="s">
        <v>12</v>
      </c>
      <c r="G83" s="1">
        <v>2</v>
      </c>
      <c r="H83" s="1">
        <v>40.869999999999997</v>
      </c>
    </row>
    <row r="84" spans="1:8" x14ac:dyDescent="0.3">
      <c r="A84" s="1">
        <v>93</v>
      </c>
      <c r="B84" s="1" t="s">
        <v>8</v>
      </c>
      <c r="C84" s="1" t="s">
        <v>9</v>
      </c>
      <c r="D84" s="1" t="s">
        <v>10</v>
      </c>
      <c r="E84" s="1" t="s">
        <v>18</v>
      </c>
      <c r="F84" s="1" t="s">
        <v>17</v>
      </c>
      <c r="G84" s="1">
        <v>12</v>
      </c>
      <c r="H84" s="1">
        <v>128.79</v>
      </c>
    </row>
    <row r="85" spans="1:8" x14ac:dyDescent="0.3">
      <c r="A85" s="1">
        <v>94</v>
      </c>
      <c r="B85" s="1" t="s">
        <v>13</v>
      </c>
      <c r="C85" s="1" t="s">
        <v>14</v>
      </c>
      <c r="D85" s="1" t="s">
        <v>10</v>
      </c>
      <c r="E85" s="1" t="s">
        <v>23</v>
      </c>
      <c r="F85" s="1" t="s">
        <v>19</v>
      </c>
      <c r="G85" s="1">
        <v>9</v>
      </c>
      <c r="H85" s="1">
        <v>54.41</v>
      </c>
    </row>
    <row r="86" spans="1:8" x14ac:dyDescent="0.3">
      <c r="A86" s="1">
        <v>95</v>
      </c>
      <c r="B86" s="1" t="s">
        <v>13</v>
      </c>
      <c r="C86" s="1" t="s">
        <v>14</v>
      </c>
      <c r="D86" s="1" t="s">
        <v>15</v>
      </c>
      <c r="E86" s="1" t="s">
        <v>11</v>
      </c>
      <c r="F86" s="1" t="s">
        <v>17</v>
      </c>
      <c r="G86" s="1">
        <v>9</v>
      </c>
      <c r="H86" s="1">
        <v>173.73</v>
      </c>
    </row>
    <row r="87" spans="1:8" x14ac:dyDescent="0.3">
      <c r="A87" s="1">
        <v>96</v>
      </c>
      <c r="B87" s="1" t="s">
        <v>8</v>
      </c>
      <c r="C87" s="1" t="s">
        <v>9</v>
      </c>
      <c r="D87" s="1" t="s">
        <v>10</v>
      </c>
      <c r="E87" s="1" t="s">
        <v>18</v>
      </c>
      <c r="F87" s="1" t="s">
        <v>24</v>
      </c>
      <c r="G87" s="1">
        <v>1</v>
      </c>
      <c r="H87" s="1">
        <v>7.38</v>
      </c>
    </row>
    <row r="88" spans="1:8" x14ac:dyDescent="0.3">
      <c r="A88" s="1">
        <v>97</v>
      </c>
      <c r="B88" s="1" t="s">
        <v>13</v>
      </c>
      <c r="C88" s="1" t="s">
        <v>14</v>
      </c>
      <c r="D88" s="1" t="s">
        <v>10</v>
      </c>
      <c r="E88" s="1" t="s">
        <v>23</v>
      </c>
      <c r="F88" s="1" t="s">
        <v>24</v>
      </c>
      <c r="G88" s="1">
        <v>17</v>
      </c>
      <c r="H88" s="1">
        <v>341.61</v>
      </c>
    </row>
    <row r="89" spans="1:8" x14ac:dyDescent="0.3">
      <c r="A89" s="1">
        <v>98</v>
      </c>
      <c r="B89" s="1" t="s">
        <v>13</v>
      </c>
      <c r="C89" s="1" t="s">
        <v>14</v>
      </c>
      <c r="D89" s="1" t="s">
        <v>15</v>
      </c>
      <c r="E89" s="1" t="s">
        <v>16</v>
      </c>
      <c r="F89" s="1" t="s">
        <v>12</v>
      </c>
      <c r="G89" s="1">
        <v>3</v>
      </c>
      <c r="H89" s="1">
        <v>49.92</v>
      </c>
    </row>
    <row r="90" spans="1:8" x14ac:dyDescent="0.3">
      <c r="A90" s="1">
        <v>100</v>
      </c>
      <c r="B90" s="1" t="s">
        <v>8</v>
      </c>
      <c r="C90" s="1" t="s">
        <v>20</v>
      </c>
      <c r="D90" s="1" t="s">
        <v>10</v>
      </c>
      <c r="E90" s="1" t="s">
        <v>16</v>
      </c>
      <c r="F90" s="1" t="s">
        <v>24</v>
      </c>
      <c r="G90" s="1">
        <v>18</v>
      </c>
      <c r="H90" s="1">
        <v>204.54</v>
      </c>
    </row>
    <row r="91" spans="1:8" x14ac:dyDescent="0.3">
      <c r="A91" s="1">
        <v>101</v>
      </c>
      <c r="B91" s="1" t="s">
        <v>13</v>
      </c>
      <c r="C91" s="1" t="s">
        <v>14</v>
      </c>
      <c r="D91" s="1" t="s">
        <v>10</v>
      </c>
      <c r="E91" s="1" t="s">
        <v>23</v>
      </c>
      <c r="F91" s="1" t="s">
        <v>22</v>
      </c>
      <c r="G91" s="1">
        <v>20</v>
      </c>
      <c r="H91" s="1">
        <v>90.74</v>
      </c>
    </row>
    <row r="92" spans="1:8" x14ac:dyDescent="0.3">
      <c r="A92" s="1">
        <v>102</v>
      </c>
      <c r="B92" s="1" t="s">
        <v>8</v>
      </c>
      <c r="C92" s="1" t="s">
        <v>9</v>
      </c>
      <c r="D92" s="1" t="s">
        <v>15</v>
      </c>
      <c r="E92" s="1" t="s">
        <v>16</v>
      </c>
      <c r="F92" s="1" t="s">
        <v>24</v>
      </c>
      <c r="G92" s="1">
        <v>4</v>
      </c>
      <c r="H92" s="1">
        <v>71.430000000000007</v>
      </c>
    </row>
    <row r="93" spans="1:8" x14ac:dyDescent="0.3">
      <c r="A93" s="1">
        <v>103</v>
      </c>
      <c r="B93" s="1" t="s">
        <v>8</v>
      </c>
      <c r="C93" s="1" t="s">
        <v>9</v>
      </c>
      <c r="D93" s="1" t="s">
        <v>15</v>
      </c>
      <c r="E93" s="1" t="s">
        <v>23</v>
      </c>
      <c r="F93" s="1" t="s">
        <v>12</v>
      </c>
      <c r="G93" s="1">
        <v>9</v>
      </c>
      <c r="H93" s="1">
        <v>85.61</v>
      </c>
    </row>
    <row r="94" spans="1:8" x14ac:dyDescent="0.3">
      <c r="A94" s="1">
        <v>104</v>
      </c>
      <c r="B94" s="1" t="s">
        <v>8</v>
      </c>
      <c r="C94" s="1" t="s">
        <v>9</v>
      </c>
      <c r="D94" s="1" t="s">
        <v>15</v>
      </c>
      <c r="E94" s="1" t="s">
        <v>11</v>
      </c>
      <c r="F94" s="1" t="s">
        <v>24</v>
      </c>
      <c r="G94" s="1">
        <v>18</v>
      </c>
      <c r="H94" s="1">
        <v>351.3</v>
      </c>
    </row>
    <row r="95" spans="1:8" x14ac:dyDescent="0.3">
      <c r="A95" s="1">
        <v>105</v>
      </c>
      <c r="B95" s="1" t="s">
        <v>13</v>
      </c>
      <c r="C95" s="1" t="s">
        <v>14</v>
      </c>
      <c r="D95" s="1" t="s">
        <v>10</v>
      </c>
      <c r="E95" s="1" t="s">
        <v>23</v>
      </c>
      <c r="F95" s="1" t="s">
        <v>24</v>
      </c>
      <c r="G95" s="1">
        <v>18</v>
      </c>
      <c r="H95" s="1">
        <v>119.99</v>
      </c>
    </row>
    <row r="96" spans="1:8" x14ac:dyDescent="0.3">
      <c r="A96" s="1">
        <v>106</v>
      </c>
      <c r="B96" s="1" t="s">
        <v>8</v>
      </c>
      <c r="C96" s="1" t="s">
        <v>20</v>
      </c>
      <c r="D96" s="1" t="s">
        <v>15</v>
      </c>
      <c r="E96" s="1" t="s">
        <v>18</v>
      </c>
      <c r="F96" s="1" t="s">
        <v>22</v>
      </c>
      <c r="G96" s="1">
        <v>2</v>
      </c>
      <c r="H96" s="1">
        <v>2.1800000000000002</v>
      </c>
    </row>
    <row r="97" spans="1:8" x14ac:dyDescent="0.3">
      <c r="A97" s="1">
        <v>107</v>
      </c>
      <c r="B97" s="1" t="s">
        <v>8</v>
      </c>
      <c r="C97" s="1" t="s">
        <v>9</v>
      </c>
      <c r="D97" s="1" t="s">
        <v>10</v>
      </c>
      <c r="E97" s="1" t="s">
        <v>21</v>
      </c>
      <c r="F97" s="1" t="s">
        <v>12</v>
      </c>
      <c r="G97" s="1">
        <v>6</v>
      </c>
      <c r="H97" s="1">
        <v>28.89</v>
      </c>
    </row>
    <row r="98" spans="1:8" x14ac:dyDescent="0.3">
      <c r="A98" s="1">
        <v>108</v>
      </c>
      <c r="B98" s="1" t="s">
        <v>13</v>
      </c>
      <c r="C98" s="1" t="s">
        <v>14</v>
      </c>
      <c r="D98" s="1" t="s">
        <v>15</v>
      </c>
      <c r="E98" s="1" t="s">
        <v>21</v>
      </c>
      <c r="F98" s="1" t="s">
        <v>17</v>
      </c>
      <c r="G98" s="1">
        <v>15</v>
      </c>
      <c r="H98" s="1">
        <v>117.33</v>
      </c>
    </row>
    <row r="99" spans="1:8" x14ac:dyDescent="0.3">
      <c r="A99" s="1">
        <v>109</v>
      </c>
      <c r="B99" s="1" t="s">
        <v>13</v>
      </c>
      <c r="C99" s="1" t="s">
        <v>14</v>
      </c>
      <c r="D99" s="1" t="s">
        <v>15</v>
      </c>
      <c r="E99" s="1" t="s">
        <v>23</v>
      </c>
      <c r="F99" s="1" t="s">
        <v>19</v>
      </c>
      <c r="G99" s="1">
        <v>9</v>
      </c>
      <c r="H99" s="1">
        <v>162.75</v>
      </c>
    </row>
    <row r="100" spans="1:8" x14ac:dyDescent="0.3">
      <c r="A100" s="1">
        <v>110</v>
      </c>
      <c r="B100" s="1" t="s">
        <v>8</v>
      </c>
      <c r="C100" s="1" t="s">
        <v>9</v>
      </c>
      <c r="D100" s="1" t="s">
        <v>10</v>
      </c>
      <c r="E100" s="1" t="s">
        <v>21</v>
      </c>
      <c r="F100" s="1" t="s">
        <v>24</v>
      </c>
      <c r="G100" s="1">
        <v>13</v>
      </c>
      <c r="H100" s="1">
        <v>82.21</v>
      </c>
    </row>
    <row r="101" spans="1:8" x14ac:dyDescent="0.3">
      <c r="A101" s="1">
        <v>111</v>
      </c>
      <c r="B101" s="1" t="s">
        <v>8</v>
      </c>
      <c r="C101" s="1" t="s">
        <v>20</v>
      </c>
      <c r="D101" s="1" t="s">
        <v>10</v>
      </c>
      <c r="E101" s="1" t="s">
        <v>18</v>
      </c>
      <c r="F101" s="1" t="s">
        <v>22</v>
      </c>
      <c r="G101" s="1">
        <v>9</v>
      </c>
      <c r="H101" s="1">
        <v>144.16</v>
      </c>
    </row>
    <row r="102" spans="1:8" x14ac:dyDescent="0.3">
      <c r="A102" s="1">
        <v>112</v>
      </c>
      <c r="B102" s="1" t="s">
        <v>8</v>
      </c>
      <c r="C102" s="1" t="s">
        <v>9</v>
      </c>
      <c r="D102" s="1" t="s">
        <v>10</v>
      </c>
      <c r="E102" s="1" t="s">
        <v>18</v>
      </c>
      <c r="F102" s="1" t="s">
        <v>24</v>
      </c>
      <c r="G102" s="1">
        <v>9</v>
      </c>
      <c r="H102" s="1">
        <v>96.69</v>
      </c>
    </row>
    <row r="103" spans="1:8" x14ac:dyDescent="0.3">
      <c r="A103" s="1">
        <v>113</v>
      </c>
      <c r="B103" s="1" t="s">
        <v>8</v>
      </c>
      <c r="C103" s="1" t="s">
        <v>20</v>
      </c>
      <c r="D103" s="1" t="s">
        <v>10</v>
      </c>
      <c r="E103" s="1" t="s">
        <v>18</v>
      </c>
      <c r="F103" s="1" t="s">
        <v>24</v>
      </c>
      <c r="G103" s="1">
        <v>3</v>
      </c>
      <c r="H103" s="1">
        <v>67.06</v>
      </c>
    </row>
    <row r="104" spans="1:8" x14ac:dyDescent="0.3">
      <c r="A104" s="1">
        <v>114</v>
      </c>
      <c r="B104" s="1" t="s">
        <v>8</v>
      </c>
      <c r="C104" s="1" t="s">
        <v>20</v>
      </c>
      <c r="D104" s="1" t="s">
        <v>10</v>
      </c>
      <c r="E104" s="1" t="s">
        <v>21</v>
      </c>
      <c r="F104" s="1" t="s">
        <v>19</v>
      </c>
      <c r="G104" s="1">
        <v>15</v>
      </c>
      <c r="H104" s="1">
        <v>150.55000000000001</v>
      </c>
    </row>
    <row r="105" spans="1:8" x14ac:dyDescent="0.3">
      <c r="A105" s="1">
        <v>115</v>
      </c>
      <c r="B105" s="1" t="s">
        <v>8</v>
      </c>
      <c r="C105" s="1" t="s">
        <v>9</v>
      </c>
      <c r="D105" s="1" t="s">
        <v>15</v>
      </c>
      <c r="E105" s="1" t="s">
        <v>23</v>
      </c>
      <c r="F105" s="1" t="s">
        <v>12</v>
      </c>
      <c r="G105" s="1">
        <v>11</v>
      </c>
      <c r="H105" s="1">
        <v>56.14</v>
      </c>
    </row>
    <row r="106" spans="1:8" x14ac:dyDescent="0.3">
      <c r="A106" s="1">
        <v>116</v>
      </c>
      <c r="B106" s="1" t="s">
        <v>8</v>
      </c>
      <c r="C106" s="1" t="s">
        <v>9</v>
      </c>
      <c r="D106" s="1" t="s">
        <v>15</v>
      </c>
      <c r="E106" s="1" t="s">
        <v>18</v>
      </c>
      <c r="F106" s="1" t="s">
        <v>12</v>
      </c>
      <c r="G106" s="1">
        <v>19</v>
      </c>
      <c r="H106" s="1">
        <v>142.51</v>
      </c>
    </row>
    <row r="107" spans="1:8" x14ac:dyDescent="0.3">
      <c r="A107" s="1">
        <v>117</v>
      </c>
      <c r="B107" s="1" t="s">
        <v>8</v>
      </c>
      <c r="C107" s="1" t="s">
        <v>20</v>
      </c>
      <c r="D107" s="1" t="s">
        <v>10</v>
      </c>
      <c r="E107" s="1" t="s">
        <v>11</v>
      </c>
      <c r="F107" s="1" t="s">
        <v>17</v>
      </c>
      <c r="G107" s="1">
        <v>18</v>
      </c>
      <c r="H107" s="1">
        <v>243.64</v>
      </c>
    </row>
    <row r="108" spans="1:8" x14ac:dyDescent="0.3">
      <c r="A108" s="1">
        <v>118</v>
      </c>
      <c r="B108" s="1" t="s">
        <v>13</v>
      </c>
      <c r="C108" s="1" t="s">
        <v>14</v>
      </c>
      <c r="D108" s="1" t="s">
        <v>10</v>
      </c>
      <c r="E108" s="1" t="s">
        <v>21</v>
      </c>
      <c r="F108" s="1" t="s">
        <v>19</v>
      </c>
      <c r="G108" s="1">
        <v>16</v>
      </c>
      <c r="H108" s="1">
        <v>92.79</v>
      </c>
    </row>
    <row r="109" spans="1:8" x14ac:dyDescent="0.3">
      <c r="A109" s="1">
        <v>119</v>
      </c>
      <c r="B109" s="1" t="s">
        <v>8</v>
      </c>
      <c r="C109" s="1" t="s">
        <v>20</v>
      </c>
      <c r="D109" s="1" t="s">
        <v>15</v>
      </c>
      <c r="E109" s="1" t="s">
        <v>18</v>
      </c>
      <c r="F109" s="1" t="s">
        <v>17</v>
      </c>
      <c r="G109" s="1">
        <v>7</v>
      </c>
      <c r="H109" s="1">
        <v>131.9</v>
      </c>
    </row>
    <row r="110" spans="1:8" x14ac:dyDescent="0.3">
      <c r="A110" s="1">
        <v>120</v>
      </c>
      <c r="B110" s="1" t="s">
        <v>8</v>
      </c>
      <c r="C110" s="1" t="s">
        <v>9</v>
      </c>
      <c r="D110" s="1" t="s">
        <v>15</v>
      </c>
      <c r="E110" s="1" t="s">
        <v>23</v>
      </c>
      <c r="F110" s="1" t="s">
        <v>24</v>
      </c>
      <c r="G110" s="1">
        <v>9</v>
      </c>
      <c r="H110" s="1">
        <v>44.68</v>
      </c>
    </row>
    <row r="111" spans="1:8" x14ac:dyDescent="0.3">
      <c r="A111" s="1">
        <v>121</v>
      </c>
      <c r="B111" s="1" t="s">
        <v>13</v>
      </c>
      <c r="C111" s="1" t="s">
        <v>14</v>
      </c>
      <c r="D111" s="1" t="s">
        <v>10</v>
      </c>
      <c r="E111" s="1" t="s">
        <v>16</v>
      </c>
      <c r="F111" s="1" t="s">
        <v>12</v>
      </c>
      <c r="G111" s="1">
        <v>4</v>
      </c>
      <c r="H111" s="1">
        <v>7.19</v>
      </c>
    </row>
    <row r="112" spans="1:8" x14ac:dyDescent="0.3">
      <c r="A112" s="1">
        <v>122</v>
      </c>
      <c r="B112" s="1" t="s">
        <v>8</v>
      </c>
      <c r="C112" s="1" t="s">
        <v>9</v>
      </c>
      <c r="D112" s="1" t="s">
        <v>15</v>
      </c>
      <c r="E112" s="1" t="s">
        <v>21</v>
      </c>
      <c r="F112" s="1" t="s">
        <v>22</v>
      </c>
      <c r="G112" s="1">
        <v>12</v>
      </c>
      <c r="H112" s="1">
        <v>41.09</v>
      </c>
    </row>
    <row r="113" spans="1:8" x14ac:dyDescent="0.3">
      <c r="A113" s="1">
        <v>123</v>
      </c>
      <c r="B113" s="1" t="s">
        <v>8</v>
      </c>
      <c r="C113" s="1" t="s">
        <v>20</v>
      </c>
      <c r="D113" s="1" t="s">
        <v>15</v>
      </c>
      <c r="E113" s="1" t="s">
        <v>11</v>
      </c>
      <c r="F113" s="1" t="s">
        <v>12</v>
      </c>
      <c r="G113" s="1">
        <v>11</v>
      </c>
      <c r="H113" s="1">
        <v>39.19</v>
      </c>
    </row>
    <row r="114" spans="1:8" x14ac:dyDescent="0.3">
      <c r="A114" s="1">
        <v>124</v>
      </c>
      <c r="B114" s="1" t="s">
        <v>8</v>
      </c>
      <c r="C114" s="1" t="s">
        <v>9</v>
      </c>
      <c r="D114" s="1" t="s">
        <v>10</v>
      </c>
      <c r="E114" s="1" t="s">
        <v>21</v>
      </c>
      <c r="F114" s="1" t="s">
        <v>22</v>
      </c>
      <c r="G114" s="1">
        <v>4</v>
      </c>
      <c r="H114" s="1">
        <v>63.81</v>
      </c>
    </row>
    <row r="115" spans="1:8" x14ac:dyDescent="0.3">
      <c r="A115" s="1">
        <v>125</v>
      </c>
      <c r="B115" s="1" t="s">
        <v>8</v>
      </c>
      <c r="C115" s="1" t="s">
        <v>9</v>
      </c>
      <c r="D115" s="1" t="s">
        <v>10</v>
      </c>
      <c r="E115" s="1" t="s">
        <v>11</v>
      </c>
      <c r="F115" s="1" t="s">
        <v>22</v>
      </c>
      <c r="G115" s="1">
        <v>6</v>
      </c>
      <c r="H115" s="1">
        <v>43.91</v>
      </c>
    </row>
    <row r="116" spans="1:8" x14ac:dyDescent="0.3">
      <c r="A116" s="1">
        <v>126</v>
      </c>
      <c r="B116" s="1" t="s">
        <v>8</v>
      </c>
      <c r="C116" s="1" t="s">
        <v>9</v>
      </c>
      <c r="D116" s="1" t="s">
        <v>10</v>
      </c>
      <c r="E116" s="1" t="s">
        <v>21</v>
      </c>
      <c r="F116" s="1" t="s">
        <v>19</v>
      </c>
      <c r="G116" s="1">
        <v>10</v>
      </c>
      <c r="H116" s="1">
        <v>217.96</v>
      </c>
    </row>
    <row r="117" spans="1:8" x14ac:dyDescent="0.3">
      <c r="A117" s="1">
        <v>127</v>
      </c>
      <c r="B117" s="1" t="s">
        <v>8</v>
      </c>
      <c r="C117" s="1" t="s">
        <v>9</v>
      </c>
      <c r="D117" s="1" t="s">
        <v>15</v>
      </c>
      <c r="E117" s="1" t="s">
        <v>18</v>
      </c>
      <c r="F117" s="1" t="s">
        <v>24</v>
      </c>
      <c r="G117" s="1">
        <v>10</v>
      </c>
      <c r="H117" s="1">
        <v>11.66</v>
      </c>
    </row>
    <row r="118" spans="1:8" x14ac:dyDescent="0.3">
      <c r="A118" s="1">
        <v>128</v>
      </c>
      <c r="B118" s="1" t="s">
        <v>8</v>
      </c>
      <c r="C118" s="1" t="s">
        <v>20</v>
      </c>
      <c r="D118" s="1" t="s">
        <v>10</v>
      </c>
      <c r="E118" s="1" t="s">
        <v>16</v>
      </c>
      <c r="F118" s="1" t="s">
        <v>19</v>
      </c>
      <c r="G118" s="1">
        <v>5</v>
      </c>
      <c r="H118" s="1">
        <v>14.87</v>
      </c>
    </row>
    <row r="119" spans="1:8" x14ac:dyDescent="0.3">
      <c r="A119" s="1">
        <v>129</v>
      </c>
      <c r="B119" s="1" t="s">
        <v>8</v>
      </c>
      <c r="C119" s="1" t="s">
        <v>20</v>
      </c>
      <c r="D119" s="1" t="s">
        <v>10</v>
      </c>
      <c r="E119" s="1" t="s">
        <v>11</v>
      </c>
      <c r="F119" s="1" t="s">
        <v>24</v>
      </c>
      <c r="G119" s="1">
        <v>4</v>
      </c>
      <c r="H119" s="1">
        <v>66.430000000000007</v>
      </c>
    </row>
    <row r="120" spans="1:8" x14ac:dyDescent="0.3">
      <c r="A120" s="1">
        <v>130</v>
      </c>
      <c r="B120" s="1" t="s">
        <v>13</v>
      </c>
      <c r="C120" s="1" t="s">
        <v>14</v>
      </c>
      <c r="D120" s="1" t="s">
        <v>10</v>
      </c>
      <c r="E120" s="1" t="s">
        <v>11</v>
      </c>
      <c r="F120" s="1" t="s">
        <v>22</v>
      </c>
      <c r="G120" s="1">
        <v>16</v>
      </c>
      <c r="H120" s="1">
        <v>225.64</v>
      </c>
    </row>
    <row r="121" spans="1:8" x14ac:dyDescent="0.3">
      <c r="A121" s="1">
        <v>131</v>
      </c>
      <c r="B121" s="1" t="s">
        <v>8</v>
      </c>
      <c r="C121" s="1" t="s">
        <v>9</v>
      </c>
      <c r="D121" s="1" t="s">
        <v>15</v>
      </c>
      <c r="E121" s="1" t="s">
        <v>11</v>
      </c>
      <c r="F121" s="1" t="s">
        <v>12</v>
      </c>
      <c r="G121" s="1">
        <v>19</v>
      </c>
      <c r="H121" s="1">
        <v>125.44</v>
      </c>
    </row>
    <row r="122" spans="1:8" x14ac:dyDescent="0.3">
      <c r="A122" s="1">
        <v>132</v>
      </c>
      <c r="B122" s="1" t="s">
        <v>8</v>
      </c>
      <c r="C122" s="1" t="s">
        <v>20</v>
      </c>
      <c r="D122" s="1" t="s">
        <v>15</v>
      </c>
      <c r="E122" s="1" t="s">
        <v>23</v>
      </c>
      <c r="F122" s="1" t="s">
        <v>22</v>
      </c>
      <c r="G122" s="1">
        <v>17</v>
      </c>
      <c r="H122" s="1">
        <v>218.46</v>
      </c>
    </row>
    <row r="123" spans="1:8" x14ac:dyDescent="0.3">
      <c r="A123" s="1">
        <v>133</v>
      </c>
      <c r="B123" s="1" t="s">
        <v>8</v>
      </c>
      <c r="C123" s="1" t="s">
        <v>20</v>
      </c>
      <c r="D123" s="1" t="s">
        <v>15</v>
      </c>
      <c r="E123" s="1" t="s">
        <v>18</v>
      </c>
      <c r="F123" s="1" t="s">
        <v>19</v>
      </c>
      <c r="G123" s="1">
        <v>14</v>
      </c>
      <c r="H123" s="1">
        <v>258.41000000000003</v>
      </c>
    </row>
    <row r="124" spans="1:8" x14ac:dyDescent="0.3">
      <c r="A124" s="1">
        <v>134</v>
      </c>
      <c r="B124" s="1" t="s">
        <v>8</v>
      </c>
      <c r="C124" s="1" t="s">
        <v>9</v>
      </c>
      <c r="D124" s="1" t="s">
        <v>10</v>
      </c>
      <c r="E124" s="1" t="s">
        <v>18</v>
      </c>
      <c r="F124" s="1" t="s">
        <v>24</v>
      </c>
      <c r="G124" s="1">
        <v>11</v>
      </c>
      <c r="H124" s="1">
        <v>203.03</v>
      </c>
    </row>
    <row r="125" spans="1:8" x14ac:dyDescent="0.3">
      <c r="A125" s="1">
        <v>135</v>
      </c>
      <c r="B125" s="1" t="s">
        <v>8</v>
      </c>
      <c r="C125" s="1" t="s">
        <v>9</v>
      </c>
      <c r="D125" s="1" t="s">
        <v>10</v>
      </c>
      <c r="E125" s="1" t="s">
        <v>16</v>
      </c>
      <c r="F125" s="1" t="s">
        <v>24</v>
      </c>
      <c r="G125" s="1">
        <v>19</v>
      </c>
      <c r="H125" s="1">
        <v>418.39</v>
      </c>
    </row>
    <row r="126" spans="1:8" x14ac:dyDescent="0.3">
      <c r="A126" s="1">
        <v>136</v>
      </c>
      <c r="B126" s="1" t="s">
        <v>13</v>
      </c>
      <c r="C126" s="1" t="s">
        <v>14</v>
      </c>
      <c r="D126" s="1" t="s">
        <v>15</v>
      </c>
      <c r="E126" s="1" t="s">
        <v>18</v>
      </c>
      <c r="F126" s="1" t="s">
        <v>24</v>
      </c>
      <c r="G126" s="1">
        <v>1</v>
      </c>
      <c r="H126" s="1">
        <v>5.25</v>
      </c>
    </row>
    <row r="127" spans="1:8" x14ac:dyDescent="0.3">
      <c r="A127" s="1">
        <v>137</v>
      </c>
      <c r="B127" s="1" t="s">
        <v>13</v>
      </c>
      <c r="C127" s="1" t="s">
        <v>14</v>
      </c>
      <c r="D127" s="1" t="s">
        <v>10</v>
      </c>
      <c r="E127" s="1" t="s">
        <v>18</v>
      </c>
      <c r="F127" s="1" t="s">
        <v>22</v>
      </c>
      <c r="G127" s="1">
        <v>2</v>
      </c>
      <c r="H127" s="1">
        <v>38.630000000000003</v>
      </c>
    </row>
    <row r="128" spans="1:8" x14ac:dyDescent="0.3">
      <c r="A128" s="1">
        <v>138</v>
      </c>
      <c r="B128" s="1" t="s">
        <v>13</v>
      </c>
      <c r="C128" s="1" t="s">
        <v>14</v>
      </c>
      <c r="D128" s="1" t="s">
        <v>10</v>
      </c>
      <c r="E128" s="1" t="s">
        <v>16</v>
      </c>
      <c r="F128" s="1" t="s">
        <v>22</v>
      </c>
      <c r="G128" s="1">
        <v>18</v>
      </c>
      <c r="H128" s="1">
        <v>89.75</v>
      </c>
    </row>
    <row r="129" spans="1:8" x14ac:dyDescent="0.3">
      <c r="A129" s="1">
        <v>139</v>
      </c>
      <c r="B129" s="1" t="s">
        <v>8</v>
      </c>
      <c r="C129" s="1" t="s">
        <v>20</v>
      </c>
      <c r="D129" s="1" t="s">
        <v>10</v>
      </c>
      <c r="E129" s="1" t="s">
        <v>11</v>
      </c>
      <c r="F129" s="1" t="s">
        <v>19</v>
      </c>
      <c r="G129" s="1">
        <v>14</v>
      </c>
      <c r="H129" s="1">
        <v>73.25</v>
      </c>
    </row>
    <row r="130" spans="1:8" x14ac:dyDescent="0.3">
      <c r="A130" s="1">
        <v>140</v>
      </c>
      <c r="B130" s="1" t="s">
        <v>13</v>
      </c>
      <c r="C130" s="1" t="s">
        <v>14</v>
      </c>
      <c r="D130" s="1" t="s">
        <v>10</v>
      </c>
      <c r="E130" s="1" t="s">
        <v>23</v>
      </c>
      <c r="F130" s="1" t="s">
        <v>12</v>
      </c>
      <c r="G130" s="1">
        <v>13</v>
      </c>
      <c r="H130" s="1">
        <v>135.07</v>
      </c>
    </row>
    <row r="131" spans="1:8" x14ac:dyDescent="0.3">
      <c r="A131" s="1">
        <v>141</v>
      </c>
      <c r="B131" s="1" t="s">
        <v>8</v>
      </c>
      <c r="C131" s="1" t="s">
        <v>20</v>
      </c>
      <c r="D131" s="1" t="s">
        <v>15</v>
      </c>
      <c r="E131" s="1" t="s">
        <v>16</v>
      </c>
      <c r="F131" s="1" t="s">
        <v>19</v>
      </c>
      <c r="G131" s="1">
        <v>6</v>
      </c>
      <c r="H131" s="1">
        <v>22.08</v>
      </c>
    </row>
    <row r="132" spans="1:8" x14ac:dyDescent="0.3">
      <c r="A132" s="1">
        <v>142</v>
      </c>
      <c r="B132" s="1" t="s">
        <v>8</v>
      </c>
      <c r="C132" s="1" t="s">
        <v>9</v>
      </c>
      <c r="D132" s="1" t="s">
        <v>10</v>
      </c>
      <c r="E132" s="1" t="s">
        <v>16</v>
      </c>
      <c r="F132" s="1" t="s">
        <v>22</v>
      </c>
      <c r="G132" s="1">
        <v>7</v>
      </c>
      <c r="H132" s="1">
        <v>109.2</v>
      </c>
    </row>
    <row r="133" spans="1:8" x14ac:dyDescent="0.3">
      <c r="A133" s="1">
        <v>143</v>
      </c>
      <c r="B133" s="1" t="s">
        <v>8</v>
      </c>
      <c r="C133" s="1" t="s">
        <v>9</v>
      </c>
      <c r="D133" s="1" t="s">
        <v>10</v>
      </c>
      <c r="E133" s="1" t="s">
        <v>11</v>
      </c>
      <c r="F133" s="1" t="s">
        <v>12</v>
      </c>
      <c r="G133" s="1">
        <v>7</v>
      </c>
      <c r="H133" s="1">
        <v>125.01</v>
      </c>
    </row>
    <row r="134" spans="1:8" x14ac:dyDescent="0.3">
      <c r="A134" s="1">
        <v>144</v>
      </c>
      <c r="B134" s="1" t="s">
        <v>8</v>
      </c>
      <c r="C134" s="1" t="s">
        <v>20</v>
      </c>
      <c r="D134" s="1" t="s">
        <v>10</v>
      </c>
      <c r="E134" s="1" t="s">
        <v>11</v>
      </c>
      <c r="F134" s="1" t="s">
        <v>24</v>
      </c>
      <c r="G134" s="1">
        <v>16</v>
      </c>
      <c r="H134" s="1">
        <v>166.41</v>
      </c>
    </row>
    <row r="135" spans="1:8" x14ac:dyDescent="0.3">
      <c r="A135" s="1">
        <v>145</v>
      </c>
      <c r="B135" s="1" t="s">
        <v>13</v>
      </c>
      <c r="C135" s="1" t="s">
        <v>14</v>
      </c>
      <c r="D135" s="1" t="s">
        <v>15</v>
      </c>
      <c r="E135" s="1" t="s">
        <v>11</v>
      </c>
      <c r="F135" s="1" t="s">
        <v>19</v>
      </c>
      <c r="G135" s="1">
        <v>2</v>
      </c>
      <c r="H135" s="1">
        <v>34.15</v>
      </c>
    </row>
    <row r="136" spans="1:8" x14ac:dyDescent="0.3">
      <c r="A136" s="1">
        <v>146</v>
      </c>
      <c r="B136" s="1" t="s">
        <v>8</v>
      </c>
      <c r="C136" s="1" t="s">
        <v>9</v>
      </c>
      <c r="D136" s="1" t="s">
        <v>10</v>
      </c>
      <c r="E136" s="1" t="s">
        <v>18</v>
      </c>
      <c r="F136" s="1" t="s">
        <v>17</v>
      </c>
      <c r="G136" s="1">
        <v>20</v>
      </c>
      <c r="H136" s="1">
        <v>244.39</v>
      </c>
    </row>
    <row r="137" spans="1:8" x14ac:dyDescent="0.3">
      <c r="A137" s="1">
        <v>147</v>
      </c>
      <c r="B137" s="1" t="s">
        <v>8</v>
      </c>
      <c r="C137" s="1" t="s">
        <v>9</v>
      </c>
      <c r="D137" s="1" t="s">
        <v>15</v>
      </c>
      <c r="E137" s="1" t="s">
        <v>16</v>
      </c>
      <c r="F137" s="1" t="s">
        <v>24</v>
      </c>
      <c r="G137" s="1">
        <v>12</v>
      </c>
      <c r="H137" s="1">
        <v>64.33</v>
      </c>
    </row>
    <row r="138" spans="1:8" x14ac:dyDescent="0.3">
      <c r="A138" s="1">
        <v>148</v>
      </c>
      <c r="B138" s="1" t="s">
        <v>8</v>
      </c>
      <c r="C138" s="1" t="s">
        <v>20</v>
      </c>
      <c r="D138" s="1" t="s">
        <v>10</v>
      </c>
      <c r="E138" s="1" t="s">
        <v>16</v>
      </c>
      <c r="F138" s="1" t="s">
        <v>22</v>
      </c>
      <c r="G138" s="1">
        <v>9</v>
      </c>
      <c r="H138" s="1">
        <v>21.86</v>
      </c>
    </row>
    <row r="139" spans="1:8" x14ac:dyDescent="0.3">
      <c r="A139" s="1">
        <v>149</v>
      </c>
      <c r="B139" s="1" t="s">
        <v>8</v>
      </c>
      <c r="C139" s="1" t="s">
        <v>9</v>
      </c>
      <c r="D139" s="1" t="s">
        <v>10</v>
      </c>
      <c r="E139" s="1" t="s">
        <v>11</v>
      </c>
      <c r="F139" s="1" t="s">
        <v>12</v>
      </c>
      <c r="G139" s="1">
        <v>19</v>
      </c>
      <c r="H139" s="1">
        <v>265.70999999999998</v>
      </c>
    </row>
    <row r="140" spans="1:8" x14ac:dyDescent="0.3">
      <c r="A140" s="1">
        <v>150</v>
      </c>
      <c r="B140" s="1" t="s">
        <v>8</v>
      </c>
      <c r="C140" s="1" t="s">
        <v>9</v>
      </c>
      <c r="D140" s="1" t="s">
        <v>15</v>
      </c>
      <c r="E140" s="1" t="s">
        <v>16</v>
      </c>
      <c r="F140" s="1" t="s">
        <v>24</v>
      </c>
      <c r="G140" s="1">
        <v>14</v>
      </c>
      <c r="H140" s="1">
        <v>87.33</v>
      </c>
    </row>
    <row r="141" spans="1:8" x14ac:dyDescent="0.3">
      <c r="A141" s="1">
        <v>151</v>
      </c>
      <c r="B141" s="1" t="s">
        <v>8</v>
      </c>
      <c r="C141" s="1" t="s">
        <v>20</v>
      </c>
      <c r="D141" s="1" t="s">
        <v>15</v>
      </c>
      <c r="E141" s="1" t="s">
        <v>11</v>
      </c>
      <c r="F141" s="1" t="s">
        <v>22</v>
      </c>
      <c r="G141" s="1">
        <v>14</v>
      </c>
      <c r="H141" s="1">
        <v>300.5</v>
      </c>
    </row>
    <row r="142" spans="1:8" x14ac:dyDescent="0.3">
      <c r="A142" s="1">
        <v>152</v>
      </c>
      <c r="B142" s="1" t="s">
        <v>8</v>
      </c>
      <c r="C142" s="1" t="s">
        <v>20</v>
      </c>
      <c r="D142" s="1" t="s">
        <v>15</v>
      </c>
      <c r="E142" s="1" t="s">
        <v>23</v>
      </c>
      <c r="F142" s="1" t="s">
        <v>22</v>
      </c>
      <c r="G142" s="1">
        <v>10</v>
      </c>
      <c r="H142" s="1">
        <v>212.82</v>
      </c>
    </row>
    <row r="143" spans="1:8" x14ac:dyDescent="0.3">
      <c r="A143" s="1">
        <v>153</v>
      </c>
      <c r="B143" s="1" t="s">
        <v>8</v>
      </c>
      <c r="C143" s="1" t="s">
        <v>20</v>
      </c>
      <c r="D143" s="1" t="s">
        <v>15</v>
      </c>
      <c r="E143" s="1" t="s">
        <v>16</v>
      </c>
      <c r="F143" s="1" t="s">
        <v>12</v>
      </c>
      <c r="G143" s="1">
        <v>19</v>
      </c>
      <c r="H143" s="1">
        <v>113.03</v>
      </c>
    </row>
    <row r="144" spans="1:8" x14ac:dyDescent="0.3">
      <c r="A144" s="1">
        <v>154</v>
      </c>
      <c r="B144" s="1" t="s">
        <v>13</v>
      </c>
      <c r="C144" s="1" t="s">
        <v>14</v>
      </c>
      <c r="D144" s="1" t="s">
        <v>15</v>
      </c>
      <c r="E144" s="1" t="s">
        <v>21</v>
      </c>
      <c r="F144" s="1" t="s">
        <v>17</v>
      </c>
      <c r="G144" s="1">
        <v>1</v>
      </c>
      <c r="H144" s="1">
        <v>18.41</v>
      </c>
    </row>
    <row r="145" spans="1:8" x14ac:dyDescent="0.3">
      <c r="A145" s="1">
        <v>155</v>
      </c>
      <c r="B145" s="1" t="s">
        <v>8</v>
      </c>
      <c r="C145" s="1" t="s">
        <v>20</v>
      </c>
      <c r="D145" s="1" t="s">
        <v>10</v>
      </c>
      <c r="E145" s="1" t="s">
        <v>18</v>
      </c>
      <c r="F145" s="1" t="s">
        <v>17</v>
      </c>
      <c r="G145" s="1">
        <v>11</v>
      </c>
      <c r="H145" s="1">
        <v>133.94</v>
      </c>
    </row>
    <row r="146" spans="1:8" x14ac:dyDescent="0.3">
      <c r="A146" s="1">
        <v>156</v>
      </c>
      <c r="B146" s="1" t="s">
        <v>8</v>
      </c>
      <c r="C146" s="1" t="s">
        <v>20</v>
      </c>
      <c r="D146" s="1" t="s">
        <v>10</v>
      </c>
      <c r="E146" s="1" t="s">
        <v>23</v>
      </c>
      <c r="F146" s="1" t="s">
        <v>17</v>
      </c>
      <c r="G146" s="1">
        <v>20</v>
      </c>
      <c r="H146" s="1">
        <v>114.06</v>
      </c>
    </row>
    <row r="147" spans="1:8" x14ac:dyDescent="0.3">
      <c r="A147" s="1">
        <v>157</v>
      </c>
      <c r="B147" s="1" t="s">
        <v>8</v>
      </c>
      <c r="C147" s="1" t="s">
        <v>9</v>
      </c>
      <c r="D147" s="1" t="s">
        <v>15</v>
      </c>
      <c r="E147" s="1" t="s">
        <v>11</v>
      </c>
      <c r="F147" s="1" t="s">
        <v>24</v>
      </c>
      <c r="G147" s="1">
        <v>20</v>
      </c>
      <c r="H147" s="1">
        <v>402.11</v>
      </c>
    </row>
    <row r="148" spans="1:8" x14ac:dyDescent="0.3">
      <c r="A148" s="1">
        <v>158</v>
      </c>
      <c r="B148" s="1" t="s">
        <v>8</v>
      </c>
      <c r="C148" s="1" t="s">
        <v>9</v>
      </c>
      <c r="D148" s="1" t="s">
        <v>15</v>
      </c>
      <c r="E148" s="1" t="s">
        <v>11</v>
      </c>
      <c r="F148" s="1" t="s">
        <v>19</v>
      </c>
      <c r="G148" s="1">
        <v>1</v>
      </c>
      <c r="H148" s="1">
        <v>20.37</v>
      </c>
    </row>
    <row r="149" spans="1:8" x14ac:dyDescent="0.3">
      <c r="A149" s="1">
        <v>159</v>
      </c>
      <c r="B149" s="1" t="s">
        <v>8</v>
      </c>
      <c r="C149" s="1" t="s">
        <v>9</v>
      </c>
      <c r="D149" s="1" t="s">
        <v>15</v>
      </c>
      <c r="E149" s="1" t="s">
        <v>16</v>
      </c>
      <c r="F149" s="1" t="s">
        <v>22</v>
      </c>
      <c r="G149" s="1">
        <v>11</v>
      </c>
      <c r="H149" s="1">
        <v>233.28</v>
      </c>
    </row>
    <row r="150" spans="1:8" x14ac:dyDescent="0.3">
      <c r="A150" s="1">
        <v>160</v>
      </c>
      <c r="B150" s="1" t="s">
        <v>8</v>
      </c>
      <c r="C150" s="1" t="s">
        <v>20</v>
      </c>
      <c r="D150" s="1" t="s">
        <v>10</v>
      </c>
      <c r="E150" s="1" t="s">
        <v>23</v>
      </c>
      <c r="F150" s="1" t="s">
        <v>22</v>
      </c>
      <c r="G150" s="1">
        <v>2</v>
      </c>
      <c r="H150" s="1">
        <v>19.920000000000002</v>
      </c>
    </row>
    <row r="151" spans="1:8" x14ac:dyDescent="0.3">
      <c r="A151" s="1">
        <v>161</v>
      </c>
      <c r="B151" s="1" t="s">
        <v>8</v>
      </c>
      <c r="C151" s="1" t="s">
        <v>20</v>
      </c>
      <c r="D151" s="1" t="s">
        <v>10</v>
      </c>
      <c r="E151" s="1" t="s">
        <v>23</v>
      </c>
      <c r="F151" s="1" t="s">
        <v>17</v>
      </c>
      <c r="G151" s="1">
        <v>19</v>
      </c>
      <c r="H151" s="1">
        <v>425.1</v>
      </c>
    </row>
    <row r="152" spans="1:8" x14ac:dyDescent="0.3">
      <c r="A152" s="1">
        <v>162</v>
      </c>
      <c r="B152" s="1" t="s">
        <v>8</v>
      </c>
      <c r="C152" s="1" t="s">
        <v>9</v>
      </c>
      <c r="D152" s="1" t="s">
        <v>10</v>
      </c>
      <c r="E152" s="1" t="s">
        <v>11</v>
      </c>
      <c r="F152" s="1" t="s">
        <v>19</v>
      </c>
      <c r="G152" s="1">
        <v>4</v>
      </c>
      <c r="H152" s="1">
        <v>64.459999999999994</v>
      </c>
    </row>
    <row r="153" spans="1:8" x14ac:dyDescent="0.3">
      <c r="A153" s="1">
        <v>163</v>
      </c>
      <c r="B153" s="1" t="s">
        <v>13</v>
      </c>
      <c r="C153" s="1" t="s">
        <v>14</v>
      </c>
      <c r="D153" s="1" t="s">
        <v>15</v>
      </c>
      <c r="E153" s="1" t="s">
        <v>23</v>
      </c>
      <c r="F153" s="1" t="s">
        <v>19</v>
      </c>
      <c r="G153" s="1">
        <v>11</v>
      </c>
      <c r="H153" s="1">
        <v>207.27</v>
      </c>
    </row>
    <row r="154" spans="1:8" x14ac:dyDescent="0.3">
      <c r="A154" s="1">
        <v>164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12</v>
      </c>
      <c r="G154" s="1">
        <v>8</v>
      </c>
      <c r="H154" s="1">
        <v>177.71</v>
      </c>
    </row>
    <row r="155" spans="1:8" x14ac:dyDescent="0.3">
      <c r="A155" s="1">
        <v>165</v>
      </c>
      <c r="B155" s="1" t="s">
        <v>8</v>
      </c>
      <c r="C155" s="1" t="s">
        <v>20</v>
      </c>
      <c r="D155" s="1" t="s">
        <v>10</v>
      </c>
      <c r="E155" s="1" t="s">
        <v>21</v>
      </c>
      <c r="F155" s="1" t="s">
        <v>17</v>
      </c>
      <c r="G155" s="1">
        <v>18</v>
      </c>
      <c r="H155" s="1">
        <v>229.58</v>
      </c>
    </row>
    <row r="156" spans="1:8" x14ac:dyDescent="0.3">
      <c r="A156" s="1">
        <v>166</v>
      </c>
      <c r="B156" s="1" t="s">
        <v>13</v>
      </c>
      <c r="C156" s="1" t="s">
        <v>14</v>
      </c>
      <c r="D156" s="1" t="s">
        <v>15</v>
      </c>
      <c r="E156" s="1" t="s">
        <v>21</v>
      </c>
      <c r="F156" s="1" t="s">
        <v>12</v>
      </c>
      <c r="G156" s="1">
        <v>18</v>
      </c>
      <c r="H156" s="1">
        <v>272.91000000000003</v>
      </c>
    </row>
    <row r="157" spans="1:8" x14ac:dyDescent="0.3">
      <c r="A157" s="1">
        <v>167</v>
      </c>
      <c r="B157" s="1" t="s">
        <v>13</v>
      </c>
      <c r="C157" s="1" t="s">
        <v>14</v>
      </c>
      <c r="D157" s="1" t="s">
        <v>15</v>
      </c>
      <c r="E157" s="1" t="s">
        <v>18</v>
      </c>
      <c r="F157" s="1" t="s">
        <v>17</v>
      </c>
      <c r="G157" s="1">
        <v>10</v>
      </c>
      <c r="H157" s="1">
        <v>70.19</v>
      </c>
    </row>
    <row r="158" spans="1:8" x14ac:dyDescent="0.3">
      <c r="A158" s="1">
        <v>168</v>
      </c>
      <c r="B158" s="1" t="s">
        <v>8</v>
      </c>
      <c r="C158" s="1" t="s">
        <v>20</v>
      </c>
      <c r="D158" s="1" t="s">
        <v>10</v>
      </c>
      <c r="E158" s="1" t="s">
        <v>21</v>
      </c>
      <c r="F158" s="1" t="s">
        <v>24</v>
      </c>
      <c r="G158" s="1">
        <v>12</v>
      </c>
      <c r="H158" s="1">
        <v>123.65</v>
      </c>
    </row>
    <row r="159" spans="1:8" x14ac:dyDescent="0.3">
      <c r="A159" s="1">
        <v>169</v>
      </c>
      <c r="B159" s="1" t="s">
        <v>8</v>
      </c>
      <c r="C159" s="1" t="s">
        <v>9</v>
      </c>
      <c r="D159" s="1" t="s">
        <v>10</v>
      </c>
      <c r="E159" s="1" t="s">
        <v>23</v>
      </c>
      <c r="F159" s="1" t="s">
        <v>22</v>
      </c>
      <c r="G159" s="1">
        <v>4</v>
      </c>
      <c r="H159" s="1">
        <v>77</v>
      </c>
    </row>
    <row r="160" spans="1:8" x14ac:dyDescent="0.3">
      <c r="A160" s="1">
        <v>170</v>
      </c>
      <c r="B160" s="1" t="s">
        <v>13</v>
      </c>
      <c r="C160" s="1" t="s">
        <v>14</v>
      </c>
      <c r="D160" s="1" t="s">
        <v>15</v>
      </c>
      <c r="E160" s="1" t="s">
        <v>21</v>
      </c>
      <c r="F160" s="1" t="s">
        <v>19</v>
      </c>
      <c r="G160" s="1">
        <v>12</v>
      </c>
      <c r="H160" s="1">
        <v>68.819999999999993</v>
      </c>
    </row>
    <row r="161" spans="1:8" x14ac:dyDescent="0.3">
      <c r="A161" s="1">
        <v>171</v>
      </c>
      <c r="B161" s="1" t="s">
        <v>8</v>
      </c>
      <c r="C161" s="1" t="s">
        <v>9</v>
      </c>
      <c r="D161" s="1" t="s">
        <v>10</v>
      </c>
      <c r="E161" s="1" t="s">
        <v>23</v>
      </c>
      <c r="F161" s="1" t="s">
        <v>19</v>
      </c>
      <c r="G161" s="1">
        <v>5</v>
      </c>
      <c r="H161" s="1">
        <v>61.69</v>
      </c>
    </row>
    <row r="162" spans="1:8" x14ac:dyDescent="0.3">
      <c r="A162" s="1">
        <v>172</v>
      </c>
      <c r="B162" s="1" t="s">
        <v>13</v>
      </c>
      <c r="C162" s="1" t="s">
        <v>14</v>
      </c>
      <c r="D162" s="1" t="s">
        <v>15</v>
      </c>
      <c r="E162" s="1" t="s">
        <v>11</v>
      </c>
      <c r="F162" s="1" t="s">
        <v>19</v>
      </c>
      <c r="G162" s="1">
        <v>15</v>
      </c>
      <c r="H162" s="1">
        <v>237.86</v>
      </c>
    </row>
    <row r="163" spans="1:8" x14ac:dyDescent="0.3">
      <c r="A163" s="1">
        <v>173</v>
      </c>
      <c r="B163" s="1" t="s">
        <v>8</v>
      </c>
      <c r="C163" s="1" t="s">
        <v>9</v>
      </c>
      <c r="D163" s="1" t="s">
        <v>10</v>
      </c>
      <c r="E163" s="1" t="s">
        <v>18</v>
      </c>
      <c r="F163" s="1" t="s">
        <v>19</v>
      </c>
      <c r="G163" s="1">
        <v>20</v>
      </c>
      <c r="H163" s="1">
        <v>317.36</v>
      </c>
    </row>
    <row r="164" spans="1:8" x14ac:dyDescent="0.3">
      <c r="A164" s="1">
        <v>174</v>
      </c>
      <c r="B164" s="1" t="s">
        <v>13</v>
      </c>
      <c r="C164" s="1" t="s">
        <v>14</v>
      </c>
      <c r="D164" s="1" t="s">
        <v>10</v>
      </c>
      <c r="E164" s="1" t="s">
        <v>11</v>
      </c>
      <c r="F164" s="1" t="s">
        <v>17</v>
      </c>
      <c r="G164" s="1">
        <v>3</v>
      </c>
      <c r="H164" s="1">
        <v>16.34</v>
      </c>
    </row>
    <row r="165" spans="1:8" x14ac:dyDescent="0.3">
      <c r="A165" s="1">
        <v>175</v>
      </c>
      <c r="B165" s="1" t="s">
        <v>8</v>
      </c>
      <c r="C165" s="1" t="s">
        <v>9</v>
      </c>
      <c r="D165" s="1" t="s">
        <v>15</v>
      </c>
      <c r="E165" s="1" t="s">
        <v>21</v>
      </c>
      <c r="F165" s="1" t="s">
        <v>22</v>
      </c>
      <c r="G165" s="1">
        <v>15</v>
      </c>
      <c r="H165" s="1">
        <v>277.99</v>
      </c>
    </row>
    <row r="166" spans="1:8" x14ac:dyDescent="0.3">
      <c r="A166" s="1">
        <v>176</v>
      </c>
      <c r="B166" s="1" t="s">
        <v>13</v>
      </c>
      <c r="C166" s="1" t="s">
        <v>14</v>
      </c>
      <c r="D166" s="1" t="s">
        <v>10</v>
      </c>
      <c r="E166" s="1" t="s">
        <v>11</v>
      </c>
      <c r="F166" s="1" t="s">
        <v>19</v>
      </c>
      <c r="G166" s="1">
        <v>1</v>
      </c>
      <c r="H166" s="1">
        <v>15.31</v>
      </c>
    </row>
    <row r="167" spans="1:8" x14ac:dyDescent="0.3">
      <c r="A167" s="1">
        <v>177</v>
      </c>
      <c r="B167" s="1" t="s">
        <v>13</v>
      </c>
      <c r="C167" s="1" t="s">
        <v>14</v>
      </c>
      <c r="D167" s="1" t="s">
        <v>10</v>
      </c>
      <c r="E167" s="1" t="s">
        <v>23</v>
      </c>
      <c r="F167" s="1" t="s">
        <v>19</v>
      </c>
      <c r="G167" s="1">
        <v>10</v>
      </c>
      <c r="H167" s="1">
        <v>12.95</v>
      </c>
    </row>
    <row r="168" spans="1:8" x14ac:dyDescent="0.3">
      <c r="A168" s="1">
        <v>178</v>
      </c>
      <c r="B168" s="1" t="s">
        <v>8</v>
      </c>
      <c r="C168" s="1" t="s">
        <v>20</v>
      </c>
      <c r="D168" s="1" t="s">
        <v>10</v>
      </c>
      <c r="E168" s="1" t="s">
        <v>16</v>
      </c>
      <c r="F168" s="1" t="s">
        <v>12</v>
      </c>
      <c r="G168" s="1">
        <v>10</v>
      </c>
      <c r="H168" s="1">
        <v>126.8</v>
      </c>
    </row>
    <row r="169" spans="1:8" x14ac:dyDescent="0.3">
      <c r="A169" s="1">
        <v>179</v>
      </c>
      <c r="B169" s="1" t="s">
        <v>8</v>
      </c>
      <c r="C169" s="1" t="s">
        <v>9</v>
      </c>
      <c r="D169" s="1" t="s">
        <v>10</v>
      </c>
      <c r="E169" s="1" t="s">
        <v>16</v>
      </c>
      <c r="F169" s="1" t="s">
        <v>19</v>
      </c>
      <c r="G169" s="1">
        <v>3</v>
      </c>
      <c r="H169" s="1">
        <v>14.77</v>
      </c>
    </row>
    <row r="170" spans="1:8" x14ac:dyDescent="0.3">
      <c r="A170" s="1">
        <v>180</v>
      </c>
      <c r="B170" s="1" t="s">
        <v>13</v>
      </c>
      <c r="C170" s="1" t="s">
        <v>14</v>
      </c>
      <c r="D170" s="1" t="s">
        <v>10</v>
      </c>
      <c r="E170" s="1" t="s">
        <v>23</v>
      </c>
      <c r="F170" s="1" t="s">
        <v>22</v>
      </c>
      <c r="G170" s="1">
        <v>4</v>
      </c>
      <c r="H170" s="1">
        <v>29.02</v>
      </c>
    </row>
    <row r="171" spans="1:8" x14ac:dyDescent="0.3">
      <c r="A171" s="1">
        <v>181</v>
      </c>
      <c r="B171" s="1" t="s">
        <v>13</v>
      </c>
      <c r="C171" s="1" t="s">
        <v>14</v>
      </c>
      <c r="D171" s="1" t="s">
        <v>10</v>
      </c>
      <c r="E171" s="1" t="s">
        <v>16</v>
      </c>
      <c r="F171" s="1" t="s">
        <v>19</v>
      </c>
      <c r="G171" s="1">
        <v>17</v>
      </c>
      <c r="H171" s="1">
        <v>275.20999999999998</v>
      </c>
    </row>
    <row r="172" spans="1:8" x14ac:dyDescent="0.3">
      <c r="A172" s="1">
        <v>182</v>
      </c>
      <c r="B172" s="1" t="s">
        <v>8</v>
      </c>
      <c r="C172" s="1" t="s">
        <v>9</v>
      </c>
      <c r="D172" s="1" t="s">
        <v>15</v>
      </c>
      <c r="E172" s="1" t="s">
        <v>21</v>
      </c>
      <c r="F172" s="1" t="s">
        <v>17</v>
      </c>
      <c r="G172" s="1">
        <v>8</v>
      </c>
      <c r="H172" s="1">
        <v>26.88</v>
      </c>
    </row>
    <row r="173" spans="1:8" x14ac:dyDescent="0.3">
      <c r="A173" s="1">
        <v>183</v>
      </c>
      <c r="B173" s="1" t="s">
        <v>8</v>
      </c>
      <c r="C173" s="1" t="s">
        <v>20</v>
      </c>
      <c r="D173" s="1" t="s">
        <v>15</v>
      </c>
      <c r="E173" s="1" t="s">
        <v>16</v>
      </c>
      <c r="F173" s="1" t="s">
        <v>17</v>
      </c>
      <c r="G173" s="1">
        <v>15</v>
      </c>
      <c r="H173" s="1">
        <v>70.14</v>
      </c>
    </row>
    <row r="174" spans="1:8" x14ac:dyDescent="0.3">
      <c r="A174" s="1">
        <v>184</v>
      </c>
      <c r="B174" s="1" t="s">
        <v>8</v>
      </c>
      <c r="C174" s="1" t="s">
        <v>9</v>
      </c>
      <c r="D174" s="1" t="s">
        <v>10</v>
      </c>
      <c r="E174" s="1" t="s">
        <v>11</v>
      </c>
      <c r="F174" s="1" t="s">
        <v>19</v>
      </c>
      <c r="G174" s="1">
        <v>14</v>
      </c>
      <c r="H174" s="1">
        <v>280.13</v>
      </c>
    </row>
    <row r="175" spans="1:8" x14ac:dyDescent="0.3">
      <c r="A175" s="1">
        <v>185</v>
      </c>
      <c r="B175" s="1" t="s">
        <v>8</v>
      </c>
      <c r="C175" s="1" t="s">
        <v>20</v>
      </c>
      <c r="D175" s="1" t="s">
        <v>10</v>
      </c>
      <c r="E175" s="1" t="s">
        <v>16</v>
      </c>
      <c r="F175" s="1" t="s">
        <v>24</v>
      </c>
      <c r="G175" s="1">
        <v>16</v>
      </c>
      <c r="H175" s="1">
        <v>327.33</v>
      </c>
    </row>
    <row r="176" spans="1:8" x14ac:dyDescent="0.3">
      <c r="A176" s="1">
        <v>186</v>
      </c>
      <c r="B176" s="1" t="s">
        <v>13</v>
      </c>
      <c r="C176" s="1" t="s">
        <v>14</v>
      </c>
      <c r="D176" s="1" t="s">
        <v>10</v>
      </c>
      <c r="E176" s="1" t="s">
        <v>16</v>
      </c>
      <c r="F176" s="1" t="s">
        <v>24</v>
      </c>
      <c r="G176" s="1">
        <v>3</v>
      </c>
      <c r="H176" s="1">
        <v>38.49</v>
      </c>
    </row>
    <row r="177" spans="1:8" x14ac:dyDescent="0.3">
      <c r="A177" s="1">
        <v>187</v>
      </c>
      <c r="B177" s="1" t="s">
        <v>8</v>
      </c>
      <c r="C177" s="1" t="s">
        <v>9</v>
      </c>
      <c r="D177" s="1" t="s">
        <v>10</v>
      </c>
      <c r="E177" s="1" t="s">
        <v>16</v>
      </c>
      <c r="F177" s="1" t="s">
        <v>19</v>
      </c>
      <c r="G177" s="1">
        <v>15</v>
      </c>
      <c r="H177" s="1">
        <v>156.01</v>
      </c>
    </row>
    <row r="178" spans="1:8" x14ac:dyDescent="0.3">
      <c r="A178" s="1">
        <v>188</v>
      </c>
      <c r="B178" s="1" t="s">
        <v>8</v>
      </c>
      <c r="C178" s="1" t="s">
        <v>20</v>
      </c>
      <c r="D178" s="1" t="s">
        <v>15</v>
      </c>
      <c r="E178" s="1" t="s">
        <v>16</v>
      </c>
      <c r="F178" s="1" t="s">
        <v>22</v>
      </c>
      <c r="G178" s="1">
        <v>5</v>
      </c>
      <c r="H178" s="1">
        <v>30.6</v>
      </c>
    </row>
    <row r="179" spans="1:8" x14ac:dyDescent="0.3">
      <c r="A179" s="1">
        <v>189</v>
      </c>
      <c r="B179" s="1" t="s">
        <v>8</v>
      </c>
      <c r="C179" s="1" t="s">
        <v>20</v>
      </c>
      <c r="D179" s="1" t="s">
        <v>10</v>
      </c>
      <c r="E179" s="1" t="s">
        <v>11</v>
      </c>
      <c r="F179" s="1" t="s">
        <v>22</v>
      </c>
      <c r="G179" s="1">
        <v>3</v>
      </c>
      <c r="H179" s="1">
        <v>47.73</v>
      </c>
    </row>
    <row r="180" spans="1:8" x14ac:dyDescent="0.3">
      <c r="A180" s="1">
        <v>190</v>
      </c>
      <c r="B180" s="1" t="s">
        <v>13</v>
      </c>
      <c r="C180" s="1" t="s">
        <v>14</v>
      </c>
      <c r="D180" s="1" t="s">
        <v>10</v>
      </c>
      <c r="E180" s="1" t="s">
        <v>11</v>
      </c>
      <c r="F180" s="1" t="s">
        <v>19</v>
      </c>
      <c r="G180" s="1">
        <v>11</v>
      </c>
      <c r="H180" s="1">
        <v>113.7</v>
      </c>
    </row>
    <row r="181" spans="1:8" x14ac:dyDescent="0.3">
      <c r="A181" s="1">
        <v>191</v>
      </c>
      <c r="B181" s="1" t="s">
        <v>8</v>
      </c>
      <c r="C181" s="1" t="s">
        <v>9</v>
      </c>
      <c r="D181" s="1" t="s">
        <v>10</v>
      </c>
      <c r="E181" s="1" t="s">
        <v>23</v>
      </c>
      <c r="F181" s="1" t="s">
        <v>17</v>
      </c>
      <c r="G181" s="1">
        <v>13</v>
      </c>
      <c r="H181" s="1">
        <v>49.66</v>
      </c>
    </row>
    <row r="182" spans="1:8" x14ac:dyDescent="0.3">
      <c r="A182" s="1">
        <v>192</v>
      </c>
      <c r="B182" s="1" t="s">
        <v>8</v>
      </c>
      <c r="C182" s="1" t="s">
        <v>9</v>
      </c>
      <c r="D182" s="1" t="s">
        <v>10</v>
      </c>
      <c r="E182" s="1" t="s">
        <v>21</v>
      </c>
      <c r="F182" s="1" t="s">
        <v>17</v>
      </c>
      <c r="G182" s="1">
        <v>10</v>
      </c>
      <c r="H182" s="1">
        <v>58.85</v>
      </c>
    </row>
    <row r="183" spans="1:8" x14ac:dyDescent="0.3">
      <c r="A183" s="1">
        <v>193</v>
      </c>
      <c r="B183" s="1" t="s">
        <v>13</v>
      </c>
      <c r="C183" s="1" t="s">
        <v>14</v>
      </c>
      <c r="D183" s="1" t="s">
        <v>15</v>
      </c>
      <c r="E183" s="1" t="s">
        <v>18</v>
      </c>
      <c r="F183" s="1" t="s">
        <v>22</v>
      </c>
      <c r="G183" s="1">
        <v>3</v>
      </c>
      <c r="H183" s="1">
        <v>7.86</v>
      </c>
    </row>
    <row r="184" spans="1:8" x14ac:dyDescent="0.3">
      <c r="A184" s="1">
        <v>194</v>
      </c>
      <c r="B184" s="1" t="s">
        <v>8</v>
      </c>
      <c r="C184" s="1" t="s">
        <v>20</v>
      </c>
      <c r="D184" s="1" t="s">
        <v>10</v>
      </c>
      <c r="E184" s="1" t="s">
        <v>11</v>
      </c>
      <c r="F184" s="1" t="s">
        <v>24</v>
      </c>
      <c r="G184" s="1">
        <v>4</v>
      </c>
      <c r="H184" s="1">
        <v>40.96</v>
      </c>
    </row>
    <row r="185" spans="1:8" x14ac:dyDescent="0.3">
      <c r="A185" s="1">
        <v>195</v>
      </c>
      <c r="B185" s="1" t="s">
        <v>13</v>
      </c>
      <c r="C185" s="1" t="s">
        <v>14</v>
      </c>
      <c r="D185" s="1" t="s">
        <v>10</v>
      </c>
      <c r="E185" s="1" t="s">
        <v>16</v>
      </c>
      <c r="F185" s="1" t="s">
        <v>22</v>
      </c>
      <c r="G185" s="1">
        <v>4</v>
      </c>
      <c r="H185" s="1">
        <v>11.17</v>
      </c>
    </row>
    <row r="186" spans="1:8" x14ac:dyDescent="0.3">
      <c r="A186" s="1">
        <v>196</v>
      </c>
      <c r="B186" s="1" t="s">
        <v>8</v>
      </c>
      <c r="C186" s="1" t="s">
        <v>9</v>
      </c>
      <c r="D186" s="1" t="s">
        <v>15</v>
      </c>
      <c r="E186" s="1" t="s">
        <v>18</v>
      </c>
      <c r="F186" s="1" t="s">
        <v>19</v>
      </c>
      <c r="G186" s="1">
        <v>6</v>
      </c>
      <c r="H186" s="1">
        <v>57.65</v>
      </c>
    </row>
    <row r="187" spans="1:8" x14ac:dyDescent="0.3">
      <c r="A187" s="1">
        <v>197</v>
      </c>
      <c r="B187" s="1" t="s">
        <v>8</v>
      </c>
      <c r="C187" s="1" t="s">
        <v>9</v>
      </c>
      <c r="D187" s="1" t="s">
        <v>10</v>
      </c>
      <c r="E187" s="1" t="s">
        <v>16</v>
      </c>
      <c r="F187" s="1" t="s">
        <v>17</v>
      </c>
      <c r="G187" s="1">
        <v>15</v>
      </c>
      <c r="H187" s="1">
        <v>312.81</v>
      </c>
    </row>
    <row r="188" spans="1:8" x14ac:dyDescent="0.3">
      <c r="A188" s="1">
        <v>198</v>
      </c>
      <c r="B188" s="1" t="s">
        <v>8</v>
      </c>
      <c r="C188" s="1" t="s">
        <v>20</v>
      </c>
      <c r="D188" s="1" t="s">
        <v>10</v>
      </c>
      <c r="E188" s="1" t="s">
        <v>23</v>
      </c>
      <c r="F188" s="1" t="s">
        <v>12</v>
      </c>
      <c r="G188" s="1">
        <v>18</v>
      </c>
      <c r="H188" s="1">
        <v>130.97</v>
      </c>
    </row>
    <row r="189" spans="1:8" x14ac:dyDescent="0.3">
      <c r="A189" s="1">
        <v>199</v>
      </c>
      <c r="B189" s="1" t="s">
        <v>13</v>
      </c>
      <c r="C189" s="1" t="s">
        <v>14</v>
      </c>
      <c r="D189" s="1" t="s">
        <v>10</v>
      </c>
      <c r="E189" s="1" t="s">
        <v>16</v>
      </c>
      <c r="F189" s="1" t="s">
        <v>19</v>
      </c>
      <c r="G189" s="1">
        <v>16</v>
      </c>
      <c r="H189" s="1">
        <v>168.46</v>
      </c>
    </row>
    <row r="190" spans="1:8" x14ac:dyDescent="0.3">
      <c r="A190" s="1">
        <v>200</v>
      </c>
      <c r="B190" s="1" t="s">
        <v>8</v>
      </c>
      <c r="C190" s="1" t="s">
        <v>20</v>
      </c>
      <c r="D190" s="1" t="s">
        <v>15</v>
      </c>
      <c r="E190" s="1" t="s">
        <v>18</v>
      </c>
      <c r="F190" s="1" t="s">
        <v>19</v>
      </c>
      <c r="G190" s="1">
        <v>6</v>
      </c>
      <c r="H190" s="1">
        <v>73.12</v>
      </c>
    </row>
    <row r="191" spans="1:8" x14ac:dyDescent="0.3">
      <c r="A191" s="1">
        <v>201</v>
      </c>
      <c r="B191" s="1" t="s">
        <v>8</v>
      </c>
      <c r="C191" s="1" t="s">
        <v>9</v>
      </c>
      <c r="D191" s="1" t="s">
        <v>15</v>
      </c>
      <c r="E191" s="1" t="s">
        <v>21</v>
      </c>
      <c r="F191" s="1" t="s">
        <v>12</v>
      </c>
      <c r="G191" s="1">
        <v>13</v>
      </c>
      <c r="H191" s="1">
        <v>115.45</v>
      </c>
    </row>
    <row r="192" spans="1:8" x14ac:dyDescent="0.3">
      <c r="A192" s="1">
        <v>202</v>
      </c>
      <c r="B192" s="1" t="s">
        <v>8</v>
      </c>
      <c r="C192" s="1" t="s">
        <v>9</v>
      </c>
      <c r="D192" s="1" t="s">
        <v>10</v>
      </c>
      <c r="E192" s="1" t="s">
        <v>21</v>
      </c>
      <c r="F192" s="1" t="s">
        <v>22</v>
      </c>
      <c r="G192" s="1">
        <v>8</v>
      </c>
      <c r="H192" s="1">
        <v>93.3</v>
      </c>
    </row>
    <row r="193" spans="1:8" x14ac:dyDescent="0.3">
      <c r="A193" s="1">
        <v>203</v>
      </c>
      <c r="B193" s="1" t="s">
        <v>13</v>
      </c>
      <c r="C193" s="1" t="s">
        <v>14</v>
      </c>
      <c r="D193" s="1" t="s">
        <v>10</v>
      </c>
      <c r="E193" s="1" t="s">
        <v>11</v>
      </c>
      <c r="F193" s="1" t="s">
        <v>19</v>
      </c>
      <c r="G193" s="1">
        <v>20</v>
      </c>
      <c r="H193" s="1">
        <v>64.2</v>
      </c>
    </row>
    <row r="194" spans="1:8" x14ac:dyDescent="0.3">
      <c r="A194" s="1">
        <v>204</v>
      </c>
      <c r="B194" s="1" t="s">
        <v>8</v>
      </c>
      <c r="C194" s="1" t="s">
        <v>20</v>
      </c>
      <c r="D194" s="1" t="s">
        <v>10</v>
      </c>
      <c r="E194" s="1" t="s">
        <v>21</v>
      </c>
      <c r="F194" s="1" t="s">
        <v>22</v>
      </c>
      <c r="G194" s="1">
        <v>10</v>
      </c>
      <c r="H194" s="1">
        <v>176.55</v>
      </c>
    </row>
    <row r="195" spans="1:8" x14ac:dyDescent="0.3">
      <c r="A195" s="1">
        <v>205</v>
      </c>
      <c r="B195" s="1" t="s">
        <v>8</v>
      </c>
      <c r="C195" s="1" t="s">
        <v>9</v>
      </c>
      <c r="D195" s="1" t="s">
        <v>15</v>
      </c>
      <c r="E195" s="1" t="s">
        <v>23</v>
      </c>
      <c r="F195" s="1" t="s">
        <v>12</v>
      </c>
      <c r="G195" s="1">
        <v>5</v>
      </c>
      <c r="H195" s="1">
        <v>107.32</v>
      </c>
    </row>
    <row r="196" spans="1:8" x14ac:dyDescent="0.3">
      <c r="A196" s="1">
        <v>206</v>
      </c>
      <c r="B196" s="1" t="s">
        <v>8</v>
      </c>
      <c r="C196" s="1" t="s">
        <v>9</v>
      </c>
      <c r="D196" s="1" t="s">
        <v>15</v>
      </c>
      <c r="E196" s="1" t="s">
        <v>11</v>
      </c>
      <c r="F196" s="1" t="s">
        <v>22</v>
      </c>
      <c r="G196" s="1">
        <v>7</v>
      </c>
      <c r="H196" s="1">
        <v>80.37</v>
      </c>
    </row>
    <row r="197" spans="1:8" x14ac:dyDescent="0.3">
      <c r="A197" s="1">
        <v>207</v>
      </c>
      <c r="B197" s="1" t="s">
        <v>13</v>
      </c>
      <c r="C197" s="1" t="s">
        <v>14</v>
      </c>
      <c r="D197" s="1" t="s">
        <v>15</v>
      </c>
      <c r="E197" s="1" t="s">
        <v>21</v>
      </c>
      <c r="F197" s="1" t="s">
        <v>17</v>
      </c>
      <c r="G197" s="1">
        <v>18</v>
      </c>
      <c r="H197" s="1">
        <v>162.94</v>
      </c>
    </row>
    <row r="198" spans="1:8" x14ac:dyDescent="0.3">
      <c r="A198" s="1">
        <v>208</v>
      </c>
      <c r="B198" s="1" t="s">
        <v>8</v>
      </c>
      <c r="C198" s="1" t="s">
        <v>9</v>
      </c>
      <c r="D198" s="1" t="s">
        <v>10</v>
      </c>
      <c r="E198" s="1" t="s">
        <v>11</v>
      </c>
      <c r="F198" s="1" t="s">
        <v>19</v>
      </c>
      <c r="G198" s="1">
        <v>20</v>
      </c>
      <c r="H198" s="1">
        <v>144.66</v>
      </c>
    </row>
    <row r="199" spans="1:8" x14ac:dyDescent="0.3">
      <c r="A199" s="1">
        <v>209</v>
      </c>
      <c r="B199" s="1" t="s">
        <v>13</v>
      </c>
      <c r="C199" s="1" t="s">
        <v>14</v>
      </c>
      <c r="D199" s="1" t="s">
        <v>15</v>
      </c>
      <c r="E199" s="1" t="s">
        <v>23</v>
      </c>
      <c r="F199" s="1" t="s">
        <v>12</v>
      </c>
      <c r="G199" s="1">
        <v>7</v>
      </c>
      <c r="H199" s="1">
        <v>65.239999999999995</v>
      </c>
    </row>
    <row r="200" spans="1:8" x14ac:dyDescent="0.3">
      <c r="A200" s="1">
        <v>210</v>
      </c>
      <c r="B200" s="1" t="s">
        <v>13</v>
      </c>
      <c r="C200" s="1" t="s">
        <v>14</v>
      </c>
      <c r="D200" s="1" t="s">
        <v>10</v>
      </c>
      <c r="E200" s="1" t="s">
        <v>16</v>
      </c>
      <c r="F200" s="1" t="s">
        <v>24</v>
      </c>
      <c r="G200" s="1">
        <v>18</v>
      </c>
      <c r="H200" s="1">
        <v>133.09</v>
      </c>
    </row>
    <row r="201" spans="1:8" x14ac:dyDescent="0.3">
      <c r="A201" s="1">
        <v>211</v>
      </c>
      <c r="B201" s="1" t="s">
        <v>8</v>
      </c>
      <c r="C201" s="1" t="s">
        <v>20</v>
      </c>
      <c r="D201" s="1" t="s">
        <v>10</v>
      </c>
      <c r="E201" s="1" t="s">
        <v>16</v>
      </c>
      <c r="F201" s="1" t="s">
        <v>17</v>
      </c>
      <c r="G201" s="1">
        <v>15</v>
      </c>
      <c r="H201" s="1">
        <v>259.69</v>
      </c>
    </row>
    <row r="202" spans="1:8" x14ac:dyDescent="0.3">
      <c r="A202" s="1">
        <v>212</v>
      </c>
      <c r="B202" s="1" t="s">
        <v>8</v>
      </c>
      <c r="C202" s="1" t="s">
        <v>20</v>
      </c>
      <c r="D202" s="1" t="s">
        <v>10</v>
      </c>
      <c r="E202" s="1" t="s">
        <v>21</v>
      </c>
      <c r="F202" s="1" t="s">
        <v>17</v>
      </c>
      <c r="G202" s="1">
        <v>17</v>
      </c>
      <c r="H202" s="1">
        <v>227.38</v>
      </c>
    </row>
    <row r="203" spans="1:8" x14ac:dyDescent="0.3">
      <c r="A203" s="1">
        <v>213</v>
      </c>
      <c r="B203" s="1" t="s">
        <v>8</v>
      </c>
      <c r="C203" s="1" t="s">
        <v>9</v>
      </c>
      <c r="D203" s="1" t="s">
        <v>15</v>
      </c>
      <c r="E203" s="1" t="s">
        <v>23</v>
      </c>
      <c r="F203" s="1" t="s">
        <v>19</v>
      </c>
      <c r="G203" s="1">
        <v>16</v>
      </c>
      <c r="H203" s="1">
        <v>300.45999999999998</v>
      </c>
    </row>
    <row r="204" spans="1:8" x14ac:dyDescent="0.3">
      <c r="A204" s="1">
        <v>214</v>
      </c>
      <c r="B204" s="1" t="s">
        <v>8</v>
      </c>
      <c r="C204" s="1" t="s">
        <v>9</v>
      </c>
      <c r="D204" s="1" t="s">
        <v>15</v>
      </c>
      <c r="E204" s="1" t="s">
        <v>16</v>
      </c>
      <c r="F204" s="1" t="s">
        <v>22</v>
      </c>
      <c r="G204" s="1">
        <v>1</v>
      </c>
      <c r="H204" s="1">
        <v>18.82</v>
      </c>
    </row>
    <row r="205" spans="1:8" x14ac:dyDescent="0.3">
      <c r="A205" s="1">
        <v>215</v>
      </c>
      <c r="B205" s="1" t="s">
        <v>13</v>
      </c>
      <c r="C205" s="1" t="s">
        <v>14</v>
      </c>
      <c r="D205" s="1" t="s">
        <v>10</v>
      </c>
      <c r="E205" s="1" t="s">
        <v>16</v>
      </c>
      <c r="F205" s="1" t="s">
        <v>24</v>
      </c>
      <c r="G205" s="1">
        <v>19</v>
      </c>
      <c r="H205" s="1">
        <v>136.21</v>
      </c>
    </row>
    <row r="206" spans="1:8" x14ac:dyDescent="0.3">
      <c r="A206" s="1">
        <v>216</v>
      </c>
      <c r="B206" s="1" t="s">
        <v>8</v>
      </c>
      <c r="C206" s="1" t="s">
        <v>9</v>
      </c>
      <c r="D206" s="1" t="s">
        <v>10</v>
      </c>
      <c r="E206" s="1" t="s">
        <v>11</v>
      </c>
      <c r="F206" s="1" t="s">
        <v>19</v>
      </c>
      <c r="G206" s="1">
        <v>2</v>
      </c>
      <c r="H206" s="1">
        <v>39.270000000000003</v>
      </c>
    </row>
    <row r="207" spans="1:8" x14ac:dyDescent="0.3">
      <c r="A207" s="1">
        <v>217</v>
      </c>
      <c r="B207" s="1" t="s">
        <v>8</v>
      </c>
      <c r="C207" s="1" t="s">
        <v>9</v>
      </c>
      <c r="D207" s="1" t="s">
        <v>15</v>
      </c>
      <c r="E207" s="1" t="s">
        <v>23</v>
      </c>
      <c r="F207" s="1" t="s">
        <v>17</v>
      </c>
      <c r="G207" s="1">
        <v>16</v>
      </c>
      <c r="H207" s="1">
        <v>121.38</v>
      </c>
    </row>
    <row r="208" spans="1:8" x14ac:dyDescent="0.3">
      <c r="A208" s="1">
        <v>218</v>
      </c>
      <c r="B208" s="1" t="s">
        <v>8</v>
      </c>
      <c r="C208" s="1" t="s">
        <v>20</v>
      </c>
      <c r="D208" s="1" t="s">
        <v>10</v>
      </c>
      <c r="E208" s="1" t="s">
        <v>21</v>
      </c>
      <c r="F208" s="1" t="s">
        <v>22</v>
      </c>
      <c r="G208" s="1">
        <v>9</v>
      </c>
      <c r="H208" s="1">
        <v>192.21</v>
      </c>
    </row>
    <row r="209" spans="1:8" x14ac:dyDescent="0.3">
      <c r="A209" s="1">
        <v>219</v>
      </c>
      <c r="B209" s="1" t="s">
        <v>13</v>
      </c>
      <c r="C209" s="1" t="s">
        <v>14</v>
      </c>
      <c r="D209" s="1" t="s">
        <v>15</v>
      </c>
      <c r="E209" s="1" t="s">
        <v>11</v>
      </c>
      <c r="F209" s="1" t="s">
        <v>17</v>
      </c>
      <c r="G209" s="1">
        <v>16</v>
      </c>
      <c r="H209" s="1">
        <v>51.53</v>
      </c>
    </row>
    <row r="210" spans="1:8" x14ac:dyDescent="0.3">
      <c r="A210" s="1">
        <v>220</v>
      </c>
      <c r="B210" s="1" t="s">
        <v>8</v>
      </c>
      <c r="C210" s="1" t="s">
        <v>9</v>
      </c>
      <c r="D210" s="1" t="s">
        <v>10</v>
      </c>
      <c r="E210" s="1" t="s">
        <v>21</v>
      </c>
      <c r="F210" s="1" t="s">
        <v>19</v>
      </c>
      <c r="G210" s="1">
        <v>13</v>
      </c>
      <c r="H210" s="1">
        <v>66.77</v>
      </c>
    </row>
    <row r="211" spans="1:8" x14ac:dyDescent="0.3">
      <c r="A211" s="1">
        <v>221</v>
      </c>
      <c r="B211" s="1" t="s">
        <v>13</v>
      </c>
      <c r="C211" s="1" t="s">
        <v>14</v>
      </c>
      <c r="D211" s="1" t="s">
        <v>15</v>
      </c>
      <c r="E211" s="1" t="s">
        <v>23</v>
      </c>
      <c r="F211" s="1" t="s">
        <v>12</v>
      </c>
      <c r="G211" s="1">
        <v>17</v>
      </c>
      <c r="H211" s="1">
        <v>106.59</v>
      </c>
    </row>
    <row r="212" spans="1:8" x14ac:dyDescent="0.3">
      <c r="A212" s="1">
        <v>222</v>
      </c>
      <c r="B212" s="1" t="s">
        <v>13</v>
      </c>
      <c r="C212" s="1" t="s">
        <v>14</v>
      </c>
      <c r="D212" s="1" t="s">
        <v>10</v>
      </c>
      <c r="E212" s="1" t="s">
        <v>23</v>
      </c>
      <c r="F212" s="1" t="s">
        <v>12</v>
      </c>
      <c r="G212" s="1">
        <v>19</v>
      </c>
      <c r="H212" s="1">
        <v>356.79</v>
      </c>
    </row>
    <row r="213" spans="1:8" x14ac:dyDescent="0.3">
      <c r="A213" s="1">
        <v>223</v>
      </c>
      <c r="B213" s="1" t="s">
        <v>8</v>
      </c>
      <c r="C213" s="1" t="s">
        <v>9</v>
      </c>
      <c r="D213" s="1" t="s">
        <v>10</v>
      </c>
      <c r="E213" s="1" t="s">
        <v>11</v>
      </c>
      <c r="F213" s="1" t="s">
        <v>17</v>
      </c>
      <c r="G213" s="1">
        <v>5</v>
      </c>
      <c r="H213" s="1">
        <v>77.41</v>
      </c>
    </row>
    <row r="214" spans="1:8" x14ac:dyDescent="0.3">
      <c r="A214" s="1">
        <v>224</v>
      </c>
      <c r="B214" s="1" t="s">
        <v>8</v>
      </c>
      <c r="C214" s="1" t="s">
        <v>20</v>
      </c>
      <c r="D214" s="1" t="s">
        <v>10</v>
      </c>
      <c r="E214" s="1" t="s">
        <v>23</v>
      </c>
      <c r="F214" s="1" t="s">
        <v>12</v>
      </c>
      <c r="G214" s="1">
        <v>14</v>
      </c>
      <c r="H214" s="1">
        <v>118.49</v>
      </c>
    </row>
    <row r="215" spans="1:8" x14ac:dyDescent="0.3">
      <c r="A215" s="1">
        <v>225</v>
      </c>
      <c r="B215" s="1" t="s">
        <v>8</v>
      </c>
      <c r="C215" s="1" t="s">
        <v>20</v>
      </c>
      <c r="D215" s="1" t="s">
        <v>10</v>
      </c>
      <c r="E215" s="1" t="s">
        <v>18</v>
      </c>
      <c r="F215" s="1" t="s">
        <v>17</v>
      </c>
      <c r="G215" s="1">
        <v>19</v>
      </c>
      <c r="H215" s="1">
        <v>103.89</v>
      </c>
    </row>
    <row r="216" spans="1:8" x14ac:dyDescent="0.3">
      <c r="A216" s="1">
        <v>226</v>
      </c>
      <c r="B216" s="1" t="s">
        <v>8</v>
      </c>
      <c r="C216" s="1" t="s">
        <v>20</v>
      </c>
      <c r="D216" s="1" t="s">
        <v>10</v>
      </c>
      <c r="E216" s="1" t="s">
        <v>11</v>
      </c>
      <c r="F216" s="1" t="s">
        <v>19</v>
      </c>
      <c r="G216" s="1">
        <v>16</v>
      </c>
      <c r="H216" s="1">
        <v>301.64999999999998</v>
      </c>
    </row>
    <row r="217" spans="1:8" x14ac:dyDescent="0.3">
      <c r="A217" s="1">
        <v>227</v>
      </c>
      <c r="B217" s="1" t="s">
        <v>8</v>
      </c>
      <c r="C217" s="1" t="s">
        <v>9</v>
      </c>
      <c r="D217" s="1" t="s">
        <v>10</v>
      </c>
      <c r="E217" s="1" t="s">
        <v>11</v>
      </c>
      <c r="F217" s="1" t="s">
        <v>24</v>
      </c>
      <c r="G217" s="1">
        <v>3</v>
      </c>
      <c r="H217" s="1">
        <v>41.06</v>
      </c>
    </row>
    <row r="218" spans="1:8" x14ac:dyDescent="0.3">
      <c r="A218" s="1">
        <v>228</v>
      </c>
      <c r="B218" s="1" t="s">
        <v>8</v>
      </c>
      <c r="C218" s="1" t="s">
        <v>9</v>
      </c>
      <c r="D218" s="1" t="s">
        <v>15</v>
      </c>
      <c r="E218" s="1" t="s">
        <v>18</v>
      </c>
      <c r="F218" s="1" t="s">
        <v>12</v>
      </c>
      <c r="G218" s="1">
        <v>1</v>
      </c>
      <c r="H218" s="1">
        <v>10.26</v>
      </c>
    </row>
    <row r="219" spans="1:8" x14ac:dyDescent="0.3">
      <c r="A219" s="1">
        <v>229</v>
      </c>
      <c r="B219" s="1" t="s">
        <v>8</v>
      </c>
      <c r="C219" s="1" t="s">
        <v>9</v>
      </c>
      <c r="D219" s="1" t="s">
        <v>15</v>
      </c>
      <c r="E219" s="1" t="s">
        <v>16</v>
      </c>
      <c r="F219" s="1" t="s">
        <v>19</v>
      </c>
      <c r="G219" s="1">
        <v>14</v>
      </c>
      <c r="H219" s="1">
        <v>38.65</v>
      </c>
    </row>
    <row r="220" spans="1:8" x14ac:dyDescent="0.3">
      <c r="A220" s="1">
        <v>230</v>
      </c>
      <c r="B220" s="1" t="s">
        <v>8</v>
      </c>
      <c r="C220" s="1" t="s">
        <v>9</v>
      </c>
      <c r="D220" s="1" t="s">
        <v>15</v>
      </c>
      <c r="E220" s="1" t="s">
        <v>11</v>
      </c>
      <c r="F220" s="1" t="s">
        <v>22</v>
      </c>
      <c r="G220" s="1">
        <v>12</v>
      </c>
      <c r="H220" s="1">
        <v>193.63</v>
      </c>
    </row>
    <row r="221" spans="1:8" x14ac:dyDescent="0.3">
      <c r="A221" s="1">
        <v>231</v>
      </c>
      <c r="B221" s="1" t="s">
        <v>8</v>
      </c>
      <c r="C221" s="1" t="s">
        <v>9</v>
      </c>
      <c r="D221" s="1" t="s">
        <v>10</v>
      </c>
      <c r="E221" s="1" t="s">
        <v>11</v>
      </c>
      <c r="F221" s="1" t="s">
        <v>22</v>
      </c>
      <c r="G221" s="1">
        <v>1</v>
      </c>
      <c r="H221" s="1">
        <v>11.13</v>
      </c>
    </row>
    <row r="222" spans="1:8" x14ac:dyDescent="0.3">
      <c r="A222" s="1">
        <v>232</v>
      </c>
      <c r="B222" s="1" t="s">
        <v>8</v>
      </c>
      <c r="C222" s="1" t="s">
        <v>20</v>
      </c>
      <c r="D222" s="1" t="s">
        <v>15</v>
      </c>
      <c r="E222" s="1" t="s">
        <v>11</v>
      </c>
      <c r="F222" s="1" t="s">
        <v>22</v>
      </c>
      <c r="G222" s="1">
        <v>4</v>
      </c>
      <c r="H222" s="1">
        <v>4.58</v>
      </c>
    </row>
    <row r="223" spans="1:8" x14ac:dyDescent="0.3">
      <c r="A223" s="1">
        <v>233</v>
      </c>
      <c r="B223" s="1" t="s">
        <v>8</v>
      </c>
      <c r="C223" s="1" t="s">
        <v>9</v>
      </c>
      <c r="D223" s="1" t="s">
        <v>15</v>
      </c>
      <c r="E223" s="1" t="s">
        <v>11</v>
      </c>
      <c r="F223" s="1" t="s">
        <v>12</v>
      </c>
      <c r="G223" s="1">
        <v>6</v>
      </c>
      <c r="H223" s="1">
        <v>18.170000000000002</v>
      </c>
    </row>
    <row r="224" spans="1:8" x14ac:dyDescent="0.3">
      <c r="A224" s="1">
        <v>234</v>
      </c>
      <c r="B224" s="1" t="s">
        <v>8</v>
      </c>
      <c r="C224" s="1" t="s">
        <v>20</v>
      </c>
      <c r="D224" s="1" t="s">
        <v>10</v>
      </c>
      <c r="E224" s="1" t="s">
        <v>16</v>
      </c>
      <c r="F224" s="1" t="s">
        <v>19</v>
      </c>
      <c r="G224" s="1">
        <v>5</v>
      </c>
      <c r="H224" s="1">
        <v>24.77</v>
      </c>
    </row>
    <row r="225" spans="1:8" x14ac:dyDescent="0.3">
      <c r="A225" s="1">
        <v>235</v>
      </c>
      <c r="B225" s="1" t="s">
        <v>8</v>
      </c>
      <c r="C225" s="1" t="s">
        <v>9</v>
      </c>
      <c r="D225" s="1" t="s">
        <v>15</v>
      </c>
      <c r="E225" s="1" t="s">
        <v>18</v>
      </c>
      <c r="F225" s="1" t="s">
        <v>22</v>
      </c>
      <c r="G225" s="1">
        <v>2</v>
      </c>
      <c r="H225" s="1">
        <v>27.35</v>
      </c>
    </row>
    <row r="226" spans="1:8" x14ac:dyDescent="0.3">
      <c r="A226" s="1">
        <v>236</v>
      </c>
      <c r="B226" s="1" t="s">
        <v>8</v>
      </c>
      <c r="C226" s="1" t="s">
        <v>20</v>
      </c>
      <c r="D226" s="1" t="s">
        <v>10</v>
      </c>
      <c r="E226" s="1" t="s">
        <v>18</v>
      </c>
      <c r="F226" s="1" t="s">
        <v>22</v>
      </c>
      <c r="G226" s="1">
        <v>16</v>
      </c>
      <c r="H226" s="1">
        <v>197.91</v>
      </c>
    </row>
    <row r="227" spans="1:8" x14ac:dyDescent="0.3">
      <c r="A227" s="1">
        <v>237</v>
      </c>
      <c r="B227" s="1" t="s">
        <v>13</v>
      </c>
      <c r="C227" s="1" t="s">
        <v>14</v>
      </c>
      <c r="D227" s="1" t="s">
        <v>15</v>
      </c>
      <c r="E227" s="1" t="s">
        <v>21</v>
      </c>
      <c r="F227" s="1" t="s">
        <v>22</v>
      </c>
      <c r="G227" s="1">
        <v>8</v>
      </c>
      <c r="H227" s="1">
        <v>154.94</v>
      </c>
    </row>
    <row r="228" spans="1:8" x14ac:dyDescent="0.3">
      <c r="A228" s="1">
        <v>238</v>
      </c>
      <c r="B228" s="1" t="s">
        <v>8</v>
      </c>
      <c r="C228" s="1" t="s">
        <v>9</v>
      </c>
      <c r="D228" s="1" t="s">
        <v>10</v>
      </c>
      <c r="E228" s="1" t="s">
        <v>11</v>
      </c>
      <c r="F228" s="1" t="s">
        <v>24</v>
      </c>
      <c r="G228" s="1">
        <v>1</v>
      </c>
      <c r="H228" s="1">
        <v>8.1300000000000008</v>
      </c>
    </row>
    <row r="229" spans="1:8" x14ac:dyDescent="0.3">
      <c r="A229" s="1">
        <v>239</v>
      </c>
      <c r="B229" s="1" t="s">
        <v>8</v>
      </c>
      <c r="C229" s="1" t="s">
        <v>20</v>
      </c>
      <c r="D229" s="1" t="s">
        <v>10</v>
      </c>
      <c r="E229" s="1" t="s">
        <v>11</v>
      </c>
      <c r="F229" s="1" t="s">
        <v>24</v>
      </c>
      <c r="G229" s="1">
        <v>15</v>
      </c>
      <c r="H229" s="1">
        <v>318.58999999999997</v>
      </c>
    </row>
    <row r="230" spans="1:8" x14ac:dyDescent="0.3">
      <c r="A230" s="1">
        <v>240</v>
      </c>
      <c r="B230" s="1" t="s">
        <v>13</v>
      </c>
      <c r="C230" s="1" t="s">
        <v>14</v>
      </c>
      <c r="D230" s="1" t="s">
        <v>15</v>
      </c>
      <c r="E230" s="1" t="s">
        <v>11</v>
      </c>
      <c r="F230" s="1" t="s">
        <v>19</v>
      </c>
      <c r="G230" s="1">
        <v>16</v>
      </c>
      <c r="H230" s="1">
        <v>184.38</v>
      </c>
    </row>
    <row r="231" spans="1:8" x14ac:dyDescent="0.3">
      <c r="A231" s="1">
        <v>241</v>
      </c>
      <c r="B231" s="1" t="s">
        <v>13</v>
      </c>
      <c r="C231" s="1" t="s">
        <v>14</v>
      </c>
      <c r="D231" s="1" t="s">
        <v>15</v>
      </c>
      <c r="E231" s="1" t="s">
        <v>11</v>
      </c>
      <c r="F231" s="1" t="s">
        <v>22</v>
      </c>
      <c r="G231" s="1">
        <v>10</v>
      </c>
      <c r="H231" s="1">
        <v>38.630000000000003</v>
      </c>
    </row>
    <row r="232" spans="1:8" x14ac:dyDescent="0.3">
      <c r="A232" s="1">
        <v>242</v>
      </c>
      <c r="B232" s="1" t="s">
        <v>8</v>
      </c>
      <c r="C232" s="1" t="s">
        <v>9</v>
      </c>
      <c r="D232" s="1" t="s">
        <v>15</v>
      </c>
      <c r="E232" s="1" t="s">
        <v>11</v>
      </c>
      <c r="F232" s="1" t="s">
        <v>17</v>
      </c>
      <c r="G232" s="1">
        <v>13</v>
      </c>
      <c r="H232" s="1">
        <v>94.17</v>
      </c>
    </row>
    <row r="233" spans="1:8" x14ac:dyDescent="0.3">
      <c r="A233" s="1">
        <v>243</v>
      </c>
      <c r="B233" s="1" t="s">
        <v>8</v>
      </c>
      <c r="C233" s="1" t="s">
        <v>20</v>
      </c>
      <c r="D233" s="1" t="s">
        <v>15</v>
      </c>
      <c r="E233" s="1" t="s">
        <v>11</v>
      </c>
      <c r="F233" s="1" t="s">
        <v>12</v>
      </c>
      <c r="G233" s="1">
        <v>6</v>
      </c>
      <c r="H233" s="1">
        <v>65.61</v>
      </c>
    </row>
    <row r="234" spans="1:8" x14ac:dyDescent="0.3">
      <c r="A234" s="1">
        <v>244</v>
      </c>
      <c r="B234" s="1" t="s">
        <v>13</v>
      </c>
      <c r="C234" s="1" t="s">
        <v>14</v>
      </c>
      <c r="D234" s="1" t="s">
        <v>15</v>
      </c>
      <c r="E234" s="1" t="s">
        <v>18</v>
      </c>
      <c r="F234" s="1" t="s">
        <v>12</v>
      </c>
      <c r="G234" s="1">
        <v>15</v>
      </c>
      <c r="H234" s="1">
        <v>200.14</v>
      </c>
    </row>
    <row r="235" spans="1:8" x14ac:dyDescent="0.3">
      <c r="A235" s="1">
        <v>245</v>
      </c>
      <c r="B235" s="1" t="s">
        <v>8</v>
      </c>
      <c r="C235" s="1" t="s">
        <v>20</v>
      </c>
      <c r="D235" s="1" t="s">
        <v>15</v>
      </c>
      <c r="E235" s="1" t="s">
        <v>11</v>
      </c>
      <c r="F235" s="1" t="s">
        <v>22</v>
      </c>
      <c r="G235" s="1">
        <v>16</v>
      </c>
      <c r="H235" s="1">
        <v>266.04000000000002</v>
      </c>
    </row>
    <row r="236" spans="1:8" x14ac:dyDescent="0.3">
      <c r="A236" s="1">
        <v>246</v>
      </c>
      <c r="B236" s="1" t="s">
        <v>8</v>
      </c>
      <c r="C236" s="1" t="s">
        <v>9</v>
      </c>
      <c r="D236" s="1" t="s">
        <v>10</v>
      </c>
      <c r="E236" s="1" t="s">
        <v>16</v>
      </c>
      <c r="F236" s="1" t="s">
        <v>24</v>
      </c>
      <c r="G236" s="1">
        <v>9</v>
      </c>
      <c r="H236" s="1">
        <v>176.23</v>
      </c>
    </row>
    <row r="237" spans="1:8" x14ac:dyDescent="0.3">
      <c r="A237" s="1">
        <v>247</v>
      </c>
      <c r="B237" s="1" t="s">
        <v>8</v>
      </c>
      <c r="C237" s="1" t="s">
        <v>20</v>
      </c>
      <c r="D237" s="1" t="s">
        <v>15</v>
      </c>
      <c r="E237" s="1" t="s">
        <v>21</v>
      </c>
      <c r="F237" s="1" t="s">
        <v>24</v>
      </c>
      <c r="G237" s="1">
        <v>3</v>
      </c>
      <c r="H237" s="1">
        <v>28.28</v>
      </c>
    </row>
    <row r="238" spans="1:8" x14ac:dyDescent="0.3">
      <c r="A238" s="1">
        <v>248</v>
      </c>
      <c r="B238" s="1" t="s">
        <v>8</v>
      </c>
      <c r="C238" s="1" t="s">
        <v>9</v>
      </c>
      <c r="D238" s="1" t="s">
        <v>10</v>
      </c>
      <c r="E238" s="1" t="s">
        <v>18</v>
      </c>
      <c r="F238" s="1" t="s">
        <v>19</v>
      </c>
      <c r="G238" s="1">
        <v>17</v>
      </c>
      <c r="H238" s="1">
        <v>246.11</v>
      </c>
    </row>
    <row r="239" spans="1:8" x14ac:dyDescent="0.3">
      <c r="A239" s="1">
        <v>249</v>
      </c>
      <c r="B239" s="1" t="s">
        <v>8</v>
      </c>
      <c r="C239" s="1" t="s">
        <v>9</v>
      </c>
      <c r="D239" s="1" t="s">
        <v>15</v>
      </c>
      <c r="E239" s="1" t="s">
        <v>21</v>
      </c>
      <c r="F239" s="1" t="s">
        <v>12</v>
      </c>
      <c r="G239" s="1">
        <v>19</v>
      </c>
      <c r="H239" s="1">
        <v>195.37</v>
      </c>
    </row>
    <row r="240" spans="1:8" x14ac:dyDescent="0.3">
      <c r="A240" s="1">
        <v>250</v>
      </c>
      <c r="B240" s="1" t="s">
        <v>13</v>
      </c>
      <c r="C240" s="1" t="s">
        <v>14</v>
      </c>
      <c r="D240" s="1" t="s">
        <v>10</v>
      </c>
      <c r="E240" s="1" t="s">
        <v>18</v>
      </c>
      <c r="F240" s="1" t="s">
        <v>24</v>
      </c>
      <c r="G240" s="1">
        <v>18</v>
      </c>
      <c r="H240" s="1">
        <v>195.87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1F3F-C33B-430E-80E2-CBB6FDDECE41}">
  <dimension ref="A1:C9"/>
  <sheetViews>
    <sheetView workbookViewId="0">
      <selection sqref="A1:XFD1048576"/>
    </sheetView>
  </sheetViews>
  <sheetFormatPr defaultRowHeight="14" x14ac:dyDescent="0.3"/>
  <cols>
    <col min="1" max="1" width="25.81640625" style="1" customWidth="1"/>
    <col min="2" max="2" width="11.36328125" style="1" bestFit="1" customWidth="1"/>
    <col min="3" max="3" width="8.90625" style="1" bestFit="1" customWidth="1"/>
    <col min="4" max="16384" width="8.7265625" style="1"/>
  </cols>
  <sheetData>
    <row r="1" spans="1:3" x14ac:dyDescent="0.3">
      <c r="A1" s="2" t="s">
        <v>29</v>
      </c>
      <c r="B1" s="2" t="s">
        <v>30</v>
      </c>
      <c r="C1" s="5"/>
    </row>
    <row r="2" spans="1:3" x14ac:dyDescent="0.3">
      <c r="A2" s="3" t="s">
        <v>31</v>
      </c>
      <c r="B2" s="4">
        <f>COUNTA(Cleaned_Data!A2:A240)</f>
        <v>239</v>
      </c>
      <c r="C2" s="6"/>
    </row>
    <row r="3" spans="1:3" x14ac:dyDescent="0.3">
      <c r="A3" s="3" t="s">
        <v>32</v>
      </c>
      <c r="B3" s="4">
        <f>SUM(Cleaned_Data!H2:H240)</f>
        <v>30362.939999999991</v>
      </c>
      <c r="C3" s="7"/>
    </row>
    <row r="4" spans="1:3" x14ac:dyDescent="0.3">
      <c r="A4" s="3" t="s">
        <v>33</v>
      </c>
      <c r="B4" s="4">
        <f>AVERAGE(Cleaned_Data!H2:H240)</f>
        <v>127.04158995815897</v>
      </c>
      <c r="C4" s="6"/>
    </row>
    <row r="5" spans="1:3" x14ac:dyDescent="0.3">
      <c r="A5" s="3" t="s">
        <v>34</v>
      </c>
      <c r="B5" s="4">
        <f>MEDIAN(Cleaned_Data!H2:H240)</f>
        <v>106.59</v>
      </c>
      <c r="C5" s="6"/>
    </row>
    <row r="6" spans="1:3" x14ac:dyDescent="0.3">
      <c r="A6" s="3" t="s">
        <v>35</v>
      </c>
      <c r="B6" s="4">
        <f>MIN(Cleaned_Data!H2:H240)</f>
        <v>2.1800000000000002</v>
      </c>
      <c r="C6" s="6"/>
    </row>
    <row r="7" spans="1:3" x14ac:dyDescent="0.3">
      <c r="A7" s="3" t="s">
        <v>36</v>
      </c>
      <c r="B7" s="4">
        <f>MAX(Cleaned_Data!H2:H240)</f>
        <v>427.14</v>
      </c>
      <c r="C7" s="6"/>
    </row>
    <row r="8" spans="1:3" x14ac:dyDescent="0.3">
      <c r="A8" s="3" t="s">
        <v>37</v>
      </c>
      <c r="B8" s="4">
        <f>SUM(Cleaned_Data!G2:G240)</f>
        <v>2576</v>
      </c>
      <c r="C8" s="8"/>
    </row>
    <row r="9" spans="1:3" ht="28" x14ac:dyDescent="0.3">
      <c r="A9" s="3" t="s">
        <v>38</v>
      </c>
      <c r="B9" s="4">
        <f>AVERAGE(Cleaned_Data!G2:G240)</f>
        <v>10.778242677824268</v>
      </c>
      <c r="C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17ED-1FAC-4D29-A98F-69F1FB6DBE43}">
  <dimension ref="A1:B8"/>
  <sheetViews>
    <sheetView workbookViewId="0">
      <selection activeCell="C13" sqref="C13"/>
    </sheetView>
  </sheetViews>
  <sheetFormatPr defaultRowHeight="14" x14ac:dyDescent="0.3"/>
  <cols>
    <col min="1" max="1" width="15" style="1" bestFit="1" customWidth="1"/>
    <col min="2" max="2" width="12.453125" style="1" bestFit="1" customWidth="1"/>
    <col min="3" max="16384" width="8.7265625" style="1"/>
  </cols>
  <sheetData>
    <row r="1" spans="1:2" s="1" customFormat="1" x14ac:dyDescent="0.3">
      <c r="A1" s="1" t="s">
        <v>25</v>
      </c>
      <c r="B1" s="1" t="s">
        <v>26</v>
      </c>
    </row>
    <row r="2" spans="1:2" s="1" customFormat="1" x14ac:dyDescent="0.3">
      <c r="A2" s="1" t="s">
        <v>3</v>
      </c>
      <c r="B2" s="1">
        <f>COUNTBLANK(Cleaned_Data!D2:D240)</f>
        <v>0</v>
      </c>
    </row>
    <row r="3" spans="1:2" s="1" customFormat="1" x14ac:dyDescent="0.3">
      <c r="A3" s="1" t="s">
        <v>5</v>
      </c>
      <c r="B3" s="1">
        <f>COUNTBLANK(Cleaned_Data!F2:F240)</f>
        <v>0</v>
      </c>
    </row>
    <row r="4" spans="1:2" s="1" customFormat="1" x14ac:dyDescent="0.3">
      <c r="A4" s="1" t="s">
        <v>6</v>
      </c>
      <c r="B4" s="1">
        <f>COUNTBLANK(Cleaned_Data!G2:G240)</f>
        <v>0</v>
      </c>
    </row>
    <row r="6" spans="1:2" s="1" customFormat="1" x14ac:dyDescent="0.3">
      <c r="A6" s="1" t="s">
        <v>27</v>
      </c>
    </row>
    <row r="8" spans="1:2" s="1" customFormat="1" x14ac:dyDescent="0.3">
      <c r="A8" s="1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H254"/>
  <sheetViews>
    <sheetView workbookViewId="0">
      <selection sqref="A1:XFD1048576"/>
    </sheetView>
  </sheetViews>
  <sheetFormatPr defaultRowHeight="14" x14ac:dyDescent="0.3"/>
  <cols>
    <col min="1" max="2" width="7.26953125" style="1" bestFit="1" customWidth="1"/>
    <col min="3" max="3" width="11.26953125" style="1" bestFit="1" customWidth="1"/>
    <col min="4" max="4" width="13.81640625" style="1" bestFit="1" customWidth="1"/>
    <col min="5" max="5" width="14.453125" style="1" customWidth="1"/>
    <col min="6" max="6" width="16.26953125" style="1" bestFit="1" customWidth="1"/>
    <col min="7" max="7" width="8.1796875" style="1" bestFit="1" customWidth="1"/>
    <col min="8" max="8" width="10.26953125" style="1" bestFit="1" customWidth="1"/>
    <col min="9" max="16384" width="8.7265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3</v>
      </c>
      <c r="H2" s="1">
        <v>17.66</v>
      </c>
    </row>
    <row r="3" spans="1:8" x14ac:dyDescent="0.3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>
        <v>10</v>
      </c>
      <c r="H3" s="1">
        <v>29.43</v>
      </c>
    </row>
    <row r="4" spans="1:8" x14ac:dyDescent="0.3">
      <c r="A4" s="1">
        <v>3</v>
      </c>
      <c r="B4" s="1" t="s">
        <v>8</v>
      </c>
      <c r="C4" s="1" t="s">
        <v>9</v>
      </c>
      <c r="D4" s="1" t="s">
        <v>10</v>
      </c>
      <c r="E4" s="1" t="s">
        <v>18</v>
      </c>
      <c r="F4" s="1" t="s">
        <v>19</v>
      </c>
      <c r="G4" s="1">
        <v>15</v>
      </c>
      <c r="H4" s="1">
        <v>19.260000000000002</v>
      </c>
    </row>
    <row r="5" spans="1:8" x14ac:dyDescent="0.3">
      <c r="A5" s="1">
        <v>4</v>
      </c>
      <c r="B5" s="1" t="s">
        <v>8</v>
      </c>
      <c r="C5" s="1" t="s">
        <v>20</v>
      </c>
      <c r="D5" s="1" t="s">
        <v>15</v>
      </c>
      <c r="E5" s="1" t="s">
        <v>21</v>
      </c>
      <c r="F5" s="1" t="s">
        <v>22</v>
      </c>
      <c r="G5" s="1">
        <v>5</v>
      </c>
      <c r="H5" s="1">
        <v>41.73</v>
      </c>
    </row>
    <row r="6" spans="1:8" x14ac:dyDescent="0.3">
      <c r="A6" s="1">
        <v>5</v>
      </c>
      <c r="B6" s="1" t="s">
        <v>13</v>
      </c>
      <c r="C6" s="1" t="s">
        <v>14</v>
      </c>
      <c r="D6" s="1" t="s">
        <v>10</v>
      </c>
      <c r="E6" s="1" t="s">
        <v>23</v>
      </c>
      <c r="F6" s="1" t="s">
        <v>24</v>
      </c>
      <c r="G6" s="1">
        <v>7</v>
      </c>
      <c r="H6" s="1">
        <v>26.22</v>
      </c>
    </row>
    <row r="7" spans="1:8" x14ac:dyDescent="0.3">
      <c r="A7" s="1">
        <v>6</v>
      </c>
      <c r="B7" s="1" t="s">
        <v>8</v>
      </c>
      <c r="C7" s="1" t="s">
        <v>20</v>
      </c>
      <c r="D7" s="1" t="s">
        <v>15</v>
      </c>
      <c r="E7" s="1" t="s">
        <v>11</v>
      </c>
      <c r="F7" s="1" t="s">
        <v>17</v>
      </c>
      <c r="G7" s="1">
        <v>9</v>
      </c>
      <c r="H7" s="1">
        <v>108.24</v>
      </c>
    </row>
    <row r="8" spans="1:8" x14ac:dyDescent="0.3">
      <c r="A8" s="1">
        <v>7</v>
      </c>
      <c r="B8" s="1" t="s">
        <v>8</v>
      </c>
      <c r="C8" s="1" t="s">
        <v>20</v>
      </c>
      <c r="D8" s="1" t="s">
        <v>15</v>
      </c>
      <c r="E8" s="1" t="s">
        <v>11</v>
      </c>
      <c r="F8" s="1" t="s">
        <v>12</v>
      </c>
      <c r="G8" s="1">
        <v>1</v>
      </c>
      <c r="H8" s="1">
        <v>11.46</v>
      </c>
    </row>
    <row r="9" spans="1:8" x14ac:dyDescent="0.3">
      <c r="A9" s="1">
        <v>8</v>
      </c>
      <c r="B9" s="1" t="s">
        <v>13</v>
      </c>
      <c r="C9" s="1" t="s">
        <v>14</v>
      </c>
      <c r="D9" s="1" t="s">
        <v>15</v>
      </c>
      <c r="E9" s="1" t="s">
        <v>11</v>
      </c>
      <c r="F9" s="1" t="s">
        <v>22</v>
      </c>
      <c r="G9" s="1">
        <v>9</v>
      </c>
      <c r="H9" s="1">
        <v>175.55</v>
      </c>
    </row>
    <row r="10" spans="1:8" x14ac:dyDescent="0.3">
      <c r="A10" s="1">
        <v>9</v>
      </c>
      <c r="B10" s="1" t="s">
        <v>8</v>
      </c>
      <c r="C10" s="1" t="s">
        <v>20</v>
      </c>
      <c r="D10" s="1" t="s">
        <v>10</v>
      </c>
      <c r="E10" s="1" t="s">
        <v>18</v>
      </c>
      <c r="F10" s="1" t="s">
        <v>19</v>
      </c>
      <c r="G10" s="1">
        <v>20</v>
      </c>
      <c r="H10" s="1">
        <v>302.81</v>
      </c>
    </row>
    <row r="11" spans="1:8" x14ac:dyDescent="0.3">
      <c r="A11" s="1">
        <v>10</v>
      </c>
      <c r="B11" s="1" t="s">
        <v>13</v>
      </c>
      <c r="C11" s="1" t="s">
        <v>14</v>
      </c>
      <c r="D11" s="1" t="s">
        <v>10</v>
      </c>
      <c r="E11" s="1" t="s">
        <v>11</v>
      </c>
      <c r="F11" s="1" t="s">
        <v>19</v>
      </c>
      <c r="G11" s="1">
        <v>19</v>
      </c>
      <c r="H11" s="1">
        <v>374.48</v>
      </c>
    </row>
    <row r="12" spans="1:8" x14ac:dyDescent="0.3">
      <c r="A12" s="1">
        <v>11</v>
      </c>
      <c r="B12" s="1" t="s">
        <v>8</v>
      </c>
      <c r="C12" s="1" t="s">
        <v>20</v>
      </c>
      <c r="D12" s="1" t="s">
        <v>15</v>
      </c>
      <c r="E12" s="1" t="s">
        <v>21</v>
      </c>
      <c r="F12" s="1" t="s">
        <v>24</v>
      </c>
      <c r="G12" s="1">
        <v>7</v>
      </c>
      <c r="H12" s="1">
        <v>69.81</v>
      </c>
    </row>
    <row r="13" spans="1:8" x14ac:dyDescent="0.3">
      <c r="A13" s="1">
        <v>13</v>
      </c>
      <c r="B13" s="1" t="s">
        <v>8</v>
      </c>
      <c r="C13" s="1" t="s">
        <v>9</v>
      </c>
      <c r="D13" s="1" t="s">
        <v>15</v>
      </c>
      <c r="E13" s="1" t="s">
        <v>23</v>
      </c>
      <c r="F13" s="1" t="s">
        <v>22</v>
      </c>
      <c r="G13" s="1">
        <v>4</v>
      </c>
      <c r="H13" s="1">
        <v>14.08</v>
      </c>
    </row>
    <row r="14" spans="1:8" x14ac:dyDescent="0.3">
      <c r="A14" s="1">
        <v>12</v>
      </c>
      <c r="B14" s="1" t="s">
        <v>13</v>
      </c>
      <c r="C14" s="1" t="s">
        <v>14</v>
      </c>
      <c r="D14" s="1" t="s">
        <v>10</v>
      </c>
      <c r="E14" s="1" t="s">
        <v>23</v>
      </c>
      <c r="F14" s="1" t="s">
        <v>22</v>
      </c>
      <c r="G14" s="1">
        <v>12</v>
      </c>
      <c r="H14" s="1">
        <v>88.47</v>
      </c>
    </row>
    <row r="15" spans="1:8" x14ac:dyDescent="0.3">
      <c r="A15" s="1">
        <v>13</v>
      </c>
      <c r="B15" s="1" t="s">
        <v>8</v>
      </c>
      <c r="C15" s="1" t="s">
        <v>9</v>
      </c>
      <c r="D15" s="1" t="s">
        <v>15</v>
      </c>
      <c r="E15" s="1" t="s">
        <v>23</v>
      </c>
      <c r="F15" s="1" t="s">
        <v>22</v>
      </c>
      <c r="G15" s="1">
        <v>4</v>
      </c>
      <c r="H15" s="1">
        <v>14.08</v>
      </c>
    </row>
    <row r="16" spans="1:8" x14ac:dyDescent="0.3">
      <c r="A16" s="1">
        <v>14</v>
      </c>
      <c r="B16" s="1" t="s">
        <v>13</v>
      </c>
      <c r="C16" s="1" t="s">
        <v>14</v>
      </c>
      <c r="D16" s="1" t="s">
        <v>10</v>
      </c>
      <c r="E16" s="1" t="s">
        <v>18</v>
      </c>
      <c r="F16" s="1" t="s">
        <v>19</v>
      </c>
      <c r="G16" s="1">
        <v>5</v>
      </c>
      <c r="H16" s="1">
        <v>47.13</v>
      </c>
    </row>
    <row r="17" spans="1:8" x14ac:dyDescent="0.3">
      <c r="A17" s="1">
        <v>15</v>
      </c>
      <c r="B17" s="1" t="s">
        <v>13</v>
      </c>
      <c r="C17" s="1" t="s">
        <v>14</v>
      </c>
      <c r="D17" s="1" t="s">
        <v>15</v>
      </c>
      <c r="E17" s="1" t="s">
        <v>18</v>
      </c>
      <c r="F17" s="1" t="s">
        <v>24</v>
      </c>
      <c r="G17" s="1">
        <v>3</v>
      </c>
      <c r="H17" s="1">
        <v>62.53</v>
      </c>
    </row>
    <row r="18" spans="1:8" x14ac:dyDescent="0.3">
      <c r="A18" s="1">
        <v>16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>
        <v>8</v>
      </c>
      <c r="H18" s="1">
        <v>47.51</v>
      </c>
    </row>
    <row r="19" spans="1:8" x14ac:dyDescent="0.3">
      <c r="A19" s="1">
        <v>17</v>
      </c>
      <c r="B19" s="1" t="s">
        <v>13</v>
      </c>
      <c r="C19" s="1" t="s">
        <v>14</v>
      </c>
      <c r="D19" s="1" t="s">
        <v>10</v>
      </c>
      <c r="E19" s="1" t="s">
        <v>18</v>
      </c>
      <c r="F19" s="1" t="s">
        <v>12</v>
      </c>
      <c r="G19" s="1">
        <v>2</v>
      </c>
      <c r="H19" s="1">
        <v>4.5599999999999996</v>
      </c>
    </row>
    <row r="20" spans="1:8" x14ac:dyDescent="0.3">
      <c r="A20" s="1">
        <v>18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19</v>
      </c>
      <c r="G20" s="1">
        <v>15</v>
      </c>
      <c r="H20" s="1">
        <v>212.82</v>
      </c>
    </row>
    <row r="21" spans="1:8" x14ac:dyDescent="0.3">
      <c r="A21" s="1">
        <v>19</v>
      </c>
      <c r="B21" s="1" t="s">
        <v>8</v>
      </c>
      <c r="C21" s="1" t="s">
        <v>9</v>
      </c>
      <c r="D21" s="1" t="s">
        <v>10</v>
      </c>
      <c r="E21" s="1" t="s">
        <v>18</v>
      </c>
      <c r="F21" s="1" t="s">
        <v>24</v>
      </c>
      <c r="G21" s="1">
        <v>2</v>
      </c>
      <c r="H21" s="1">
        <v>41.92</v>
      </c>
    </row>
    <row r="22" spans="1:8" x14ac:dyDescent="0.3">
      <c r="A22" s="1">
        <v>20</v>
      </c>
      <c r="B22" s="1" t="s">
        <v>8</v>
      </c>
      <c r="C22" s="1" t="s">
        <v>20</v>
      </c>
      <c r="D22" s="1" t="s">
        <v>15</v>
      </c>
      <c r="E22" s="1" t="s">
        <v>21</v>
      </c>
      <c r="F22" s="1" t="s">
        <v>12</v>
      </c>
      <c r="H22" s="1">
        <v>59.75</v>
      </c>
    </row>
    <row r="23" spans="1:8" x14ac:dyDescent="0.3">
      <c r="A23" s="1">
        <v>21</v>
      </c>
      <c r="B23" s="1" t="s">
        <v>13</v>
      </c>
      <c r="C23" s="1" t="s">
        <v>14</v>
      </c>
      <c r="D23" s="1" t="s">
        <v>15</v>
      </c>
      <c r="E23" s="1" t="s">
        <v>11</v>
      </c>
      <c r="F23" s="1" t="s">
        <v>12</v>
      </c>
      <c r="G23" s="1">
        <v>11</v>
      </c>
      <c r="H23" s="1">
        <v>51.32</v>
      </c>
    </row>
    <row r="24" spans="1:8" x14ac:dyDescent="0.3">
      <c r="A24" s="1">
        <v>22</v>
      </c>
      <c r="B24" s="1" t="s">
        <v>13</v>
      </c>
      <c r="C24" s="1" t="s">
        <v>14</v>
      </c>
      <c r="D24" s="1" t="s">
        <v>15</v>
      </c>
      <c r="E24" s="1" t="s">
        <v>23</v>
      </c>
      <c r="F24" s="1" t="s">
        <v>24</v>
      </c>
      <c r="G24" s="1">
        <v>1</v>
      </c>
      <c r="H24" s="1">
        <v>7.28</v>
      </c>
    </row>
    <row r="25" spans="1:8" x14ac:dyDescent="0.3">
      <c r="A25" s="1">
        <v>23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24</v>
      </c>
      <c r="G25" s="1">
        <v>16</v>
      </c>
      <c r="H25" s="1">
        <v>33.380000000000003</v>
      </c>
    </row>
    <row r="26" spans="1:8" x14ac:dyDescent="0.3">
      <c r="A26" s="1">
        <v>24</v>
      </c>
      <c r="B26" s="1" t="s">
        <v>8</v>
      </c>
      <c r="C26" s="1" t="s">
        <v>20</v>
      </c>
      <c r="D26" s="1" t="s">
        <v>15</v>
      </c>
      <c r="E26" s="1" t="s">
        <v>18</v>
      </c>
      <c r="F26" s="1" t="s">
        <v>19</v>
      </c>
      <c r="G26" s="1">
        <v>2</v>
      </c>
      <c r="H26" s="1">
        <v>40.770000000000003</v>
      </c>
    </row>
    <row r="27" spans="1:8" x14ac:dyDescent="0.3">
      <c r="A27" s="1">
        <v>25</v>
      </c>
      <c r="B27" s="1" t="s">
        <v>13</v>
      </c>
      <c r="C27" s="1" t="s">
        <v>14</v>
      </c>
      <c r="D27" s="1" t="s">
        <v>10</v>
      </c>
      <c r="E27" s="1" t="s">
        <v>21</v>
      </c>
      <c r="F27" s="1" t="s">
        <v>24</v>
      </c>
      <c r="G27" s="1">
        <v>18</v>
      </c>
      <c r="H27" s="1">
        <v>218.22</v>
      </c>
    </row>
    <row r="28" spans="1:8" x14ac:dyDescent="0.3">
      <c r="A28" s="1">
        <v>26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19</v>
      </c>
      <c r="G28" s="1">
        <v>16</v>
      </c>
      <c r="H28" s="1">
        <v>238.65</v>
      </c>
    </row>
    <row r="29" spans="1:8" x14ac:dyDescent="0.3">
      <c r="A29" s="1">
        <v>26</v>
      </c>
      <c r="B29" s="1" t="s">
        <v>13</v>
      </c>
      <c r="C29" s="1" t="s">
        <v>14</v>
      </c>
      <c r="D29" s="1" t="s">
        <v>15</v>
      </c>
      <c r="E29" s="1" t="s">
        <v>16</v>
      </c>
      <c r="F29" s="1" t="s">
        <v>19</v>
      </c>
      <c r="G29" s="1">
        <v>16</v>
      </c>
      <c r="H29" s="1">
        <v>238.65</v>
      </c>
    </row>
    <row r="30" spans="1:8" x14ac:dyDescent="0.3">
      <c r="A30" s="1">
        <v>27</v>
      </c>
      <c r="B30" s="1" t="s">
        <v>8</v>
      </c>
      <c r="C30" s="1" t="s">
        <v>9</v>
      </c>
      <c r="D30" s="1" t="s">
        <v>10</v>
      </c>
      <c r="E30" s="1" t="s">
        <v>21</v>
      </c>
      <c r="F30" s="1" t="s">
        <v>22</v>
      </c>
      <c r="G30" s="1">
        <v>2</v>
      </c>
      <c r="H30" s="1">
        <v>20.440000000000001</v>
      </c>
    </row>
    <row r="31" spans="1:8" x14ac:dyDescent="0.3">
      <c r="A31" s="1">
        <v>28</v>
      </c>
      <c r="B31" s="1" t="s">
        <v>8</v>
      </c>
      <c r="C31" s="1" t="s">
        <v>9</v>
      </c>
      <c r="D31" s="1" t="s">
        <v>10</v>
      </c>
      <c r="E31" s="1" t="s">
        <v>21</v>
      </c>
      <c r="F31" s="1" t="s">
        <v>12</v>
      </c>
      <c r="G31" s="1">
        <v>17</v>
      </c>
      <c r="H31" s="1">
        <v>299.41000000000003</v>
      </c>
    </row>
    <row r="32" spans="1:8" x14ac:dyDescent="0.3">
      <c r="A32" s="1">
        <v>29</v>
      </c>
      <c r="B32" s="1" t="s">
        <v>13</v>
      </c>
      <c r="C32" s="1" t="s">
        <v>14</v>
      </c>
      <c r="D32" s="1" t="s">
        <v>10</v>
      </c>
      <c r="E32" s="1" t="s">
        <v>11</v>
      </c>
      <c r="F32" s="1" t="s">
        <v>17</v>
      </c>
      <c r="G32" s="1">
        <v>17</v>
      </c>
      <c r="H32" s="1">
        <v>223.74</v>
      </c>
    </row>
    <row r="33" spans="1:8" x14ac:dyDescent="0.3">
      <c r="A33" s="1">
        <v>30</v>
      </c>
      <c r="B33" s="1" t="s">
        <v>8</v>
      </c>
      <c r="C33" s="1" t="s">
        <v>20</v>
      </c>
      <c r="D33" s="1" t="s">
        <v>10</v>
      </c>
      <c r="E33" s="1" t="s">
        <v>23</v>
      </c>
      <c r="G33" s="1">
        <v>15</v>
      </c>
      <c r="H33" s="1">
        <v>198.54</v>
      </c>
    </row>
    <row r="34" spans="1:8" x14ac:dyDescent="0.3">
      <c r="A34" s="1">
        <v>31</v>
      </c>
      <c r="B34" s="1" t="s">
        <v>8</v>
      </c>
      <c r="C34" s="1" t="s">
        <v>20</v>
      </c>
      <c r="E34" s="1" t="s">
        <v>11</v>
      </c>
      <c r="F34" s="1" t="s">
        <v>19</v>
      </c>
      <c r="G34" s="1">
        <v>3</v>
      </c>
      <c r="H34" s="1">
        <v>11.88</v>
      </c>
    </row>
    <row r="35" spans="1:8" x14ac:dyDescent="0.3">
      <c r="A35" s="1">
        <v>32</v>
      </c>
      <c r="B35" s="1" t="s">
        <v>8</v>
      </c>
      <c r="C35" s="1" t="s">
        <v>9</v>
      </c>
      <c r="D35" s="1" t="s">
        <v>10</v>
      </c>
      <c r="E35" s="1" t="s">
        <v>23</v>
      </c>
      <c r="G35" s="1">
        <v>3</v>
      </c>
      <c r="H35" s="1">
        <v>17.3</v>
      </c>
    </row>
    <row r="36" spans="1:8" x14ac:dyDescent="0.3">
      <c r="A36" s="1">
        <v>33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1">
        <v>17</v>
      </c>
      <c r="H36" s="1">
        <v>126.24</v>
      </c>
    </row>
    <row r="37" spans="1:8" x14ac:dyDescent="0.3">
      <c r="A37" s="1">
        <v>34</v>
      </c>
      <c r="B37" s="1" t="s">
        <v>13</v>
      </c>
      <c r="C37" s="1" t="s">
        <v>14</v>
      </c>
      <c r="D37" s="1" t="s">
        <v>15</v>
      </c>
      <c r="E37" s="1" t="s">
        <v>23</v>
      </c>
      <c r="F37" s="1" t="s">
        <v>22</v>
      </c>
      <c r="G37" s="1">
        <v>9</v>
      </c>
      <c r="H37" s="1">
        <v>78.290000000000006</v>
      </c>
    </row>
    <row r="38" spans="1:8" x14ac:dyDescent="0.3">
      <c r="A38" s="1">
        <v>35</v>
      </c>
      <c r="B38" s="1" t="s">
        <v>8</v>
      </c>
      <c r="C38" s="1" t="s">
        <v>9</v>
      </c>
      <c r="E38" s="1" t="s">
        <v>18</v>
      </c>
      <c r="F38" s="1" t="s">
        <v>12</v>
      </c>
      <c r="G38" s="1">
        <v>2</v>
      </c>
      <c r="H38" s="1">
        <v>28.72</v>
      </c>
    </row>
    <row r="39" spans="1:8" x14ac:dyDescent="0.3">
      <c r="A39" s="1">
        <v>36</v>
      </c>
      <c r="B39" s="1" t="s">
        <v>8</v>
      </c>
      <c r="C39" s="1" t="s">
        <v>9</v>
      </c>
      <c r="D39" s="1" t="s">
        <v>10</v>
      </c>
      <c r="E39" s="1" t="s">
        <v>21</v>
      </c>
      <c r="F39" s="1" t="s">
        <v>12</v>
      </c>
      <c r="G39" s="1">
        <v>15</v>
      </c>
      <c r="H39" s="1">
        <v>210.9</v>
      </c>
    </row>
    <row r="40" spans="1:8" x14ac:dyDescent="0.3">
      <c r="A40" s="1">
        <v>37</v>
      </c>
      <c r="B40" s="1" t="s">
        <v>13</v>
      </c>
      <c r="C40" s="1" t="s">
        <v>14</v>
      </c>
      <c r="D40" s="1" t="s">
        <v>10</v>
      </c>
      <c r="E40" s="1" t="s">
        <v>11</v>
      </c>
      <c r="F40" s="1" t="s">
        <v>19</v>
      </c>
      <c r="G40" s="1">
        <v>16</v>
      </c>
      <c r="H40" s="1">
        <v>190.72</v>
      </c>
    </row>
    <row r="41" spans="1:8" x14ac:dyDescent="0.3">
      <c r="A41" s="1">
        <v>38</v>
      </c>
      <c r="B41" s="1" t="s">
        <v>13</v>
      </c>
      <c r="C41" s="1" t="s">
        <v>14</v>
      </c>
      <c r="D41" s="1" t="s">
        <v>10</v>
      </c>
      <c r="E41" s="1" t="s">
        <v>16</v>
      </c>
      <c r="F41" s="1" t="s">
        <v>24</v>
      </c>
      <c r="G41" s="1">
        <v>14</v>
      </c>
      <c r="H41" s="1">
        <v>81.19</v>
      </c>
    </row>
    <row r="42" spans="1:8" x14ac:dyDescent="0.3">
      <c r="A42" s="1">
        <v>40</v>
      </c>
      <c r="B42" s="1" t="s">
        <v>8</v>
      </c>
      <c r="C42" s="1" t="s">
        <v>9</v>
      </c>
      <c r="D42" s="1" t="s">
        <v>15</v>
      </c>
      <c r="E42" s="1" t="s">
        <v>18</v>
      </c>
      <c r="F42" s="1" t="s">
        <v>19</v>
      </c>
      <c r="G42" s="1">
        <v>11</v>
      </c>
      <c r="H42" s="1">
        <v>13.77</v>
      </c>
    </row>
    <row r="43" spans="1:8" x14ac:dyDescent="0.3">
      <c r="A43" s="1">
        <v>39</v>
      </c>
      <c r="B43" s="1" t="s">
        <v>8</v>
      </c>
      <c r="C43" s="1" t="s">
        <v>9</v>
      </c>
      <c r="D43" s="1" t="s">
        <v>10</v>
      </c>
      <c r="E43" s="1" t="s">
        <v>16</v>
      </c>
      <c r="F43" s="1" t="s">
        <v>24</v>
      </c>
      <c r="G43" s="1">
        <v>15</v>
      </c>
      <c r="H43" s="1">
        <v>246.21</v>
      </c>
    </row>
    <row r="44" spans="1:8" x14ac:dyDescent="0.3">
      <c r="A44" s="1">
        <v>40</v>
      </c>
      <c r="B44" s="1" t="s">
        <v>8</v>
      </c>
      <c r="C44" s="1" t="s">
        <v>9</v>
      </c>
      <c r="D44" s="1" t="s">
        <v>15</v>
      </c>
      <c r="E44" s="1" t="s">
        <v>18</v>
      </c>
      <c r="F44" s="1" t="s">
        <v>19</v>
      </c>
      <c r="G44" s="1">
        <v>11</v>
      </c>
      <c r="H44" s="1">
        <v>13.77</v>
      </c>
    </row>
    <row r="45" spans="1:8" x14ac:dyDescent="0.3">
      <c r="A45" s="1">
        <v>41</v>
      </c>
      <c r="B45" s="1" t="s">
        <v>8</v>
      </c>
      <c r="C45" s="1" t="s">
        <v>9</v>
      </c>
      <c r="D45" s="1" t="s">
        <v>10</v>
      </c>
      <c r="E45" s="1" t="s">
        <v>16</v>
      </c>
      <c r="F45" s="1" t="s">
        <v>22</v>
      </c>
      <c r="G45" s="1">
        <v>10</v>
      </c>
      <c r="H45" s="1">
        <v>115.56</v>
      </c>
    </row>
    <row r="46" spans="1:8" x14ac:dyDescent="0.3">
      <c r="A46" s="1">
        <v>42</v>
      </c>
      <c r="B46" s="1" t="s">
        <v>8</v>
      </c>
      <c r="C46" s="1" t="s">
        <v>9</v>
      </c>
      <c r="D46" s="1" t="s">
        <v>15</v>
      </c>
      <c r="E46" s="1" t="s">
        <v>18</v>
      </c>
      <c r="F46" s="1" t="s">
        <v>22</v>
      </c>
      <c r="G46" s="1">
        <v>12</v>
      </c>
      <c r="H46" s="1">
        <v>140.97999999999999</v>
      </c>
    </row>
    <row r="47" spans="1:8" x14ac:dyDescent="0.3">
      <c r="A47" s="1">
        <v>43</v>
      </c>
      <c r="B47" s="1" t="s">
        <v>8</v>
      </c>
      <c r="C47" s="1" t="s">
        <v>9</v>
      </c>
      <c r="D47" s="1" t="s">
        <v>15</v>
      </c>
      <c r="E47" s="1" t="s">
        <v>16</v>
      </c>
      <c r="F47" s="1" t="s">
        <v>19</v>
      </c>
      <c r="G47" s="1">
        <v>2</v>
      </c>
      <c r="H47" s="1">
        <v>8.92</v>
      </c>
    </row>
    <row r="48" spans="1:8" x14ac:dyDescent="0.3">
      <c r="A48" s="1">
        <v>44</v>
      </c>
      <c r="B48" s="1" t="s">
        <v>8</v>
      </c>
      <c r="C48" s="1" t="s">
        <v>20</v>
      </c>
      <c r="E48" s="1" t="s">
        <v>21</v>
      </c>
      <c r="F48" s="1" t="s">
        <v>19</v>
      </c>
      <c r="H48" s="1">
        <v>43.08</v>
      </c>
    </row>
    <row r="49" spans="1:8" x14ac:dyDescent="0.3">
      <c r="A49" s="1">
        <v>45</v>
      </c>
      <c r="B49" s="1" t="s">
        <v>13</v>
      </c>
      <c r="C49" s="1" t="s">
        <v>14</v>
      </c>
      <c r="D49" s="1" t="s">
        <v>10</v>
      </c>
      <c r="E49" s="1" t="s">
        <v>11</v>
      </c>
      <c r="F49" s="1" t="s">
        <v>22</v>
      </c>
      <c r="G49" s="1">
        <v>8</v>
      </c>
      <c r="H49" s="1">
        <v>134.65</v>
      </c>
    </row>
    <row r="50" spans="1:8" x14ac:dyDescent="0.3">
      <c r="A50" s="1">
        <v>46</v>
      </c>
      <c r="B50" s="1" t="s">
        <v>8</v>
      </c>
      <c r="C50" s="1" t="s">
        <v>9</v>
      </c>
      <c r="D50" s="1" t="s">
        <v>10</v>
      </c>
      <c r="E50" s="1" t="s">
        <v>11</v>
      </c>
      <c r="F50" s="1" t="s">
        <v>19</v>
      </c>
      <c r="G50" s="1">
        <v>8</v>
      </c>
      <c r="H50" s="1">
        <v>136.53</v>
      </c>
    </row>
    <row r="51" spans="1:8" x14ac:dyDescent="0.3">
      <c r="A51" s="1">
        <v>47</v>
      </c>
      <c r="B51" s="1" t="s">
        <v>8</v>
      </c>
      <c r="C51" s="1" t="s">
        <v>9</v>
      </c>
      <c r="D51" s="1" t="s">
        <v>15</v>
      </c>
      <c r="E51" s="1" t="s">
        <v>11</v>
      </c>
      <c r="F51" s="1" t="s">
        <v>17</v>
      </c>
      <c r="G51" s="1">
        <v>8</v>
      </c>
      <c r="H51" s="1">
        <v>10.96</v>
      </c>
    </row>
    <row r="52" spans="1:8" x14ac:dyDescent="0.3">
      <c r="A52" s="1">
        <v>48</v>
      </c>
      <c r="B52" s="1" t="s">
        <v>13</v>
      </c>
      <c r="C52" s="1" t="s">
        <v>14</v>
      </c>
      <c r="D52" s="1" t="s">
        <v>15</v>
      </c>
      <c r="E52" s="1" t="s">
        <v>21</v>
      </c>
      <c r="F52" s="1" t="s">
        <v>12</v>
      </c>
      <c r="G52" s="1">
        <v>20</v>
      </c>
      <c r="H52" s="1">
        <v>213.57</v>
      </c>
    </row>
    <row r="53" spans="1:8" x14ac:dyDescent="0.3">
      <c r="A53" s="1">
        <v>49</v>
      </c>
      <c r="B53" s="1" t="s">
        <v>13</v>
      </c>
      <c r="C53" s="1" t="s">
        <v>14</v>
      </c>
      <c r="D53" s="1" t="s">
        <v>15</v>
      </c>
      <c r="E53" s="1" t="s">
        <v>21</v>
      </c>
      <c r="G53" s="1">
        <v>2</v>
      </c>
      <c r="H53" s="1">
        <v>13.5</v>
      </c>
    </row>
    <row r="54" spans="1:8" x14ac:dyDescent="0.3">
      <c r="A54" s="1">
        <v>50</v>
      </c>
      <c r="B54" s="1" t="s">
        <v>8</v>
      </c>
      <c r="C54" s="1" t="s">
        <v>20</v>
      </c>
      <c r="D54" s="1" t="s">
        <v>15</v>
      </c>
      <c r="E54" s="1" t="s">
        <v>18</v>
      </c>
      <c r="F54" s="1" t="s">
        <v>17</v>
      </c>
      <c r="G54" s="1">
        <v>19</v>
      </c>
      <c r="H54" s="1">
        <v>335.45</v>
      </c>
    </row>
    <row r="55" spans="1:8" x14ac:dyDescent="0.3">
      <c r="A55" s="1">
        <v>51</v>
      </c>
      <c r="B55" s="1" t="s">
        <v>8</v>
      </c>
      <c r="C55" s="1" t="s">
        <v>20</v>
      </c>
      <c r="D55" s="1" t="s">
        <v>15</v>
      </c>
      <c r="E55" s="1" t="s">
        <v>21</v>
      </c>
      <c r="F55" s="1" t="s">
        <v>17</v>
      </c>
      <c r="G55" s="1">
        <v>19</v>
      </c>
      <c r="H55" s="1">
        <v>346.02</v>
      </c>
    </row>
    <row r="56" spans="1:8" x14ac:dyDescent="0.3">
      <c r="A56" s="1">
        <v>52</v>
      </c>
      <c r="B56" s="1" t="s">
        <v>8</v>
      </c>
      <c r="C56" s="1" t="s">
        <v>20</v>
      </c>
      <c r="D56" s="1" t="s">
        <v>10</v>
      </c>
      <c r="E56" s="1" t="s">
        <v>23</v>
      </c>
      <c r="F56" s="1" t="s">
        <v>19</v>
      </c>
      <c r="G56" s="1">
        <v>5</v>
      </c>
      <c r="H56" s="1">
        <v>59.71</v>
      </c>
    </row>
    <row r="57" spans="1:8" x14ac:dyDescent="0.3">
      <c r="A57" s="1">
        <v>53</v>
      </c>
      <c r="B57" s="1" t="s">
        <v>13</v>
      </c>
      <c r="C57" s="1" t="s">
        <v>14</v>
      </c>
      <c r="D57" s="1" t="s">
        <v>15</v>
      </c>
      <c r="E57" s="1" t="s">
        <v>23</v>
      </c>
      <c r="F57" s="1" t="s">
        <v>19</v>
      </c>
      <c r="G57" s="1">
        <v>1</v>
      </c>
      <c r="H57" s="1">
        <v>20.39</v>
      </c>
    </row>
    <row r="58" spans="1:8" x14ac:dyDescent="0.3">
      <c r="A58" s="1">
        <v>54</v>
      </c>
      <c r="B58" s="1" t="s">
        <v>8</v>
      </c>
      <c r="C58" s="1" t="s">
        <v>9</v>
      </c>
      <c r="D58" s="1" t="s">
        <v>15</v>
      </c>
      <c r="E58" s="1" t="s">
        <v>23</v>
      </c>
      <c r="F58" s="1" t="s">
        <v>19</v>
      </c>
      <c r="G58" s="1">
        <v>14</v>
      </c>
      <c r="H58" s="1">
        <v>70.11</v>
      </c>
    </row>
    <row r="59" spans="1:8" x14ac:dyDescent="0.3">
      <c r="A59" s="1">
        <v>55</v>
      </c>
      <c r="B59" s="1" t="s">
        <v>13</v>
      </c>
      <c r="C59" s="1" t="s">
        <v>14</v>
      </c>
      <c r="D59" s="1" t="s">
        <v>10</v>
      </c>
      <c r="E59" s="1" t="s">
        <v>16</v>
      </c>
      <c r="F59" s="1" t="s">
        <v>22</v>
      </c>
      <c r="G59" s="1">
        <v>13</v>
      </c>
      <c r="H59" s="1">
        <v>216.58</v>
      </c>
    </row>
    <row r="60" spans="1:8" x14ac:dyDescent="0.3">
      <c r="A60" s="1">
        <v>56</v>
      </c>
      <c r="B60" s="1" t="s">
        <v>8</v>
      </c>
      <c r="C60" s="1" t="s">
        <v>20</v>
      </c>
      <c r="D60" s="1" t="s">
        <v>10</v>
      </c>
      <c r="E60" s="1" t="s">
        <v>11</v>
      </c>
      <c r="F60" s="1" t="s">
        <v>12</v>
      </c>
      <c r="G60" s="1">
        <v>10</v>
      </c>
      <c r="H60" s="1">
        <v>212.5</v>
      </c>
    </row>
    <row r="61" spans="1:8" x14ac:dyDescent="0.3">
      <c r="A61" s="1">
        <v>57</v>
      </c>
      <c r="B61" s="1" t="s">
        <v>8</v>
      </c>
      <c r="C61" s="1" t="s">
        <v>20</v>
      </c>
      <c r="D61" s="1" t="s">
        <v>10</v>
      </c>
      <c r="E61" s="1" t="s">
        <v>23</v>
      </c>
      <c r="F61" s="1" t="s">
        <v>24</v>
      </c>
      <c r="G61" s="1">
        <v>19</v>
      </c>
      <c r="H61" s="1">
        <v>414.94</v>
      </c>
    </row>
    <row r="62" spans="1:8" x14ac:dyDescent="0.3">
      <c r="A62" s="1">
        <v>58</v>
      </c>
      <c r="B62" s="1" t="s">
        <v>8</v>
      </c>
      <c r="C62" s="1" t="s">
        <v>20</v>
      </c>
      <c r="D62" s="1" t="s">
        <v>15</v>
      </c>
      <c r="E62" s="1" t="s">
        <v>16</v>
      </c>
      <c r="F62" s="1" t="s">
        <v>19</v>
      </c>
      <c r="G62" s="1">
        <v>20</v>
      </c>
      <c r="H62" s="1">
        <v>427.14</v>
      </c>
    </row>
    <row r="63" spans="1:8" x14ac:dyDescent="0.3">
      <c r="A63" s="1">
        <v>59</v>
      </c>
      <c r="B63" s="1" t="s">
        <v>8</v>
      </c>
      <c r="C63" s="1" t="s">
        <v>20</v>
      </c>
      <c r="D63" s="1" t="s">
        <v>10</v>
      </c>
      <c r="E63" s="1" t="s">
        <v>21</v>
      </c>
      <c r="F63" s="1" t="s">
        <v>17</v>
      </c>
      <c r="G63" s="1">
        <v>20</v>
      </c>
      <c r="H63" s="1">
        <v>331.27</v>
      </c>
    </row>
    <row r="64" spans="1:8" x14ac:dyDescent="0.3">
      <c r="A64" s="1">
        <v>60</v>
      </c>
      <c r="B64" s="1" t="s">
        <v>8</v>
      </c>
      <c r="C64" s="1" t="s">
        <v>20</v>
      </c>
      <c r="D64" s="1" t="s">
        <v>10</v>
      </c>
      <c r="E64" s="1" t="s">
        <v>16</v>
      </c>
      <c r="F64" s="1" t="s">
        <v>17</v>
      </c>
      <c r="G64" s="1">
        <v>4</v>
      </c>
      <c r="H64" s="1">
        <v>59.88</v>
      </c>
    </row>
    <row r="65" spans="1:8" x14ac:dyDescent="0.3">
      <c r="A65" s="1">
        <v>61</v>
      </c>
      <c r="B65" s="1" t="s">
        <v>8</v>
      </c>
      <c r="C65" s="1" t="s">
        <v>9</v>
      </c>
      <c r="D65" s="1" t="s">
        <v>10</v>
      </c>
      <c r="E65" s="1" t="s">
        <v>21</v>
      </c>
      <c r="F65" s="1" t="s">
        <v>22</v>
      </c>
      <c r="H65" s="1">
        <v>20.09</v>
      </c>
    </row>
    <row r="66" spans="1:8" x14ac:dyDescent="0.3">
      <c r="A66" s="1">
        <v>62</v>
      </c>
      <c r="B66" s="1" t="s">
        <v>8</v>
      </c>
      <c r="C66" s="1" t="s">
        <v>20</v>
      </c>
      <c r="D66" s="1" t="s">
        <v>10</v>
      </c>
      <c r="E66" s="1" t="s">
        <v>23</v>
      </c>
      <c r="F66" s="1" t="s">
        <v>24</v>
      </c>
      <c r="G66" s="1">
        <v>14</v>
      </c>
      <c r="H66" s="1">
        <v>287.47000000000003</v>
      </c>
    </row>
    <row r="67" spans="1:8" x14ac:dyDescent="0.3">
      <c r="A67" s="1">
        <v>63</v>
      </c>
      <c r="B67" s="1" t="s">
        <v>8</v>
      </c>
      <c r="C67" s="1" t="s">
        <v>9</v>
      </c>
      <c r="D67" s="1" t="s">
        <v>10</v>
      </c>
      <c r="E67" s="1" t="s">
        <v>16</v>
      </c>
      <c r="F67" s="1" t="s">
        <v>17</v>
      </c>
      <c r="G67" s="1">
        <v>19</v>
      </c>
      <c r="H67" s="1">
        <v>258.8</v>
      </c>
    </row>
    <row r="68" spans="1:8" x14ac:dyDescent="0.3">
      <c r="A68" s="1">
        <v>64</v>
      </c>
      <c r="B68" s="1" t="s">
        <v>8</v>
      </c>
      <c r="C68" s="1" t="s">
        <v>20</v>
      </c>
      <c r="D68" s="1" t="s">
        <v>10</v>
      </c>
      <c r="E68" s="1" t="s">
        <v>21</v>
      </c>
      <c r="F68" s="1" t="s">
        <v>22</v>
      </c>
      <c r="G68" s="1">
        <v>10</v>
      </c>
      <c r="H68" s="1">
        <v>121.23</v>
      </c>
    </row>
    <row r="69" spans="1:8" x14ac:dyDescent="0.3">
      <c r="A69" s="1">
        <v>65</v>
      </c>
      <c r="B69" s="1" t="s">
        <v>8</v>
      </c>
      <c r="C69" s="1" t="s">
        <v>9</v>
      </c>
      <c r="D69" s="1" t="s">
        <v>15</v>
      </c>
      <c r="E69" s="1" t="s">
        <v>23</v>
      </c>
      <c r="F69" s="1" t="s">
        <v>22</v>
      </c>
      <c r="G69" s="1">
        <v>12</v>
      </c>
      <c r="H69" s="1">
        <v>112.74</v>
      </c>
    </row>
    <row r="70" spans="1:8" x14ac:dyDescent="0.3">
      <c r="A70" s="1">
        <v>66</v>
      </c>
      <c r="B70" s="1" t="s">
        <v>8</v>
      </c>
      <c r="C70" s="1" t="s">
        <v>9</v>
      </c>
      <c r="D70" s="1" t="s">
        <v>10</v>
      </c>
      <c r="E70" s="1" t="s">
        <v>16</v>
      </c>
      <c r="F70" s="1" t="s">
        <v>12</v>
      </c>
      <c r="G70" s="1">
        <v>2</v>
      </c>
      <c r="H70" s="1">
        <v>21.94</v>
      </c>
    </row>
    <row r="71" spans="1:8" x14ac:dyDescent="0.3">
      <c r="A71" s="1">
        <v>67</v>
      </c>
      <c r="B71" s="1" t="s">
        <v>13</v>
      </c>
      <c r="C71" s="1" t="s">
        <v>14</v>
      </c>
      <c r="D71" s="1" t="s">
        <v>10</v>
      </c>
      <c r="E71" s="1" t="s">
        <v>16</v>
      </c>
      <c r="F71" s="1" t="s">
        <v>17</v>
      </c>
      <c r="G71" s="1">
        <v>8</v>
      </c>
      <c r="H71" s="1">
        <v>89.62</v>
      </c>
    </row>
    <row r="72" spans="1:8" x14ac:dyDescent="0.3">
      <c r="A72" s="1">
        <v>68</v>
      </c>
      <c r="B72" s="1" t="s">
        <v>8</v>
      </c>
      <c r="C72" s="1" t="s">
        <v>9</v>
      </c>
      <c r="D72" s="1" t="s">
        <v>15</v>
      </c>
      <c r="E72" s="1" t="s">
        <v>21</v>
      </c>
      <c r="G72" s="1">
        <v>1</v>
      </c>
      <c r="H72" s="1">
        <v>7.22</v>
      </c>
    </row>
    <row r="73" spans="1:8" x14ac:dyDescent="0.3">
      <c r="A73" s="1">
        <v>69</v>
      </c>
      <c r="B73" s="1" t="s">
        <v>8</v>
      </c>
      <c r="C73" s="1" t="s">
        <v>20</v>
      </c>
      <c r="D73" s="1" t="s">
        <v>10</v>
      </c>
      <c r="E73" s="1" t="s">
        <v>18</v>
      </c>
      <c r="F73" s="1" t="s">
        <v>12</v>
      </c>
      <c r="G73" s="1">
        <v>16</v>
      </c>
      <c r="H73" s="1">
        <v>20.03</v>
      </c>
    </row>
    <row r="74" spans="1:8" x14ac:dyDescent="0.3">
      <c r="A74" s="1">
        <v>70</v>
      </c>
      <c r="B74" s="1" t="s">
        <v>13</v>
      </c>
      <c r="C74" s="1" t="s">
        <v>14</v>
      </c>
      <c r="D74" s="1" t="s">
        <v>15</v>
      </c>
      <c r="E74" s="1" t="s">
        <v>11</v>
      </c>
      <c r="F74" s="1" t="s">
        <v>17</v>
      </c>
      <c r="G74" s="1">
        <v>14</v>
      </c>
      <c r="H74" s="1">
        <v>41.49</v>
      </c>
    </row>
    <row r="75" spans="1:8" x14ac:dyDescent="0.3">
      <c r="A75" s="1">
        <v>71</v>
      </c>
      <c r="B75" s="1" t="s">
        <v>8</v>
      </c>
      <c r="C75" s="1" t="s">
        <v>20</v>
      </c>
      <c r="D75" s="1" t="s">
        <v>15</v>
      </c>
      <c r="E75" s="1" t="s">
        <v>23</v>
      </c>
      <c r="F75" s="1" t="s">
        <v>17</v>
      </c>
      <c r="G75" s="1">
        <v>2</v>
      </c>
      <c r="H75" s="1">
        <v>27.46</v>
      </c>
    </row>
    <row r="76" spans="1:8" x14ac:dyDescent="0.3">
      <c r="A76" s="1">
        <v>72</v>
      </c>
      <c r="B76" s="1" t="s">
        <v>8</v>
      </c>
      <c r="C76" s="1" t="s">
        <v>9</v>
      </c>
      <c r="D76" s="1" t="s">
        <v>15</v>
      </c>
      <c r="E76" s="1" t="s">
        <v>18</v>
      </c>
      <c r="F76" s="1" t="s">
        <v>19</v>
      </c>
      <c r="G76" s="1">
        <v>11</v>
      </c>
      <c r="H76" s="1">
        <v>167.25</v>
      </c>
    </row>
    <row r="77" spans="1:8" x14ac:dyDescent="0.3">
      <c r="A77" s="1">
        <v>73</v>
      </c>
      <c r="B77" s="1" t="s">
        <v>8</v>
      </c>
      <c r="C77" s="1" t="s">
        <v>20</v>
      </c>
      <c r="D77" s="1" t="s">
        <v>15</v>
      </c>
      <c r="E77" s="1" t="s">
        <v>21</v>
      </c>
      <c r="F77" s="1" t="s">
        <v>19</v>
      </c>
      <c r="G77" s="1">
        <v>20</v>
      </c>
      <c r="H77" s="1">
        <v>155.58000000000001</v>
      </c>
    </row>
    <row r="78" spans="1:8" x14ac:dyDescent="0.3">
      <c r="A78" s="1">
        <v>74</v>
      </c>
      <c r="B78" s="1" t="s">
        <v>8</v>
      </c>
      <c r="C78" s="1" t="s">
        <v>9</v>
      </c>
      <c r="D78" s="1" t="s">
        <v>15</v>
      </c>
      <c r="E78" s="1" t="s">
        <v>11</v>
      </c>
      <c r="F78" s="1" t="s">
        <v>17</v>
      </c>
      <c r="G78" s="1">
        <v>2</v>
      </c>
      <c r="H78" s="1">
        <v>43.38</v>
      </c>
    </row>
    <row r="79" spans="1:8" x14ac:dyDescent="0.3">
      <c r="A79" s="1">
        <v>75</v>
      </c>
      <c r="B79" s="1" t="s">
        <v>8</v>
      </c>
      <c r="C79" s="1" t="s">
        <v>9</v>
      </c>
      <c r="D79" s="1" t="s">
        <v>15</v>
      </c>
      <c r="E79" s="1" t="s">
        <v>23</v>
      </c>
      <c r="F79" s="1" t="s">
        <v>19</v>
      </c>
      <c r="G79" s="1">
        <v>11</v>
      </c>
      <c r="H79" s="1">
        <v>101.46</v>
      </c>
    </row>
    <row r="80" spans="1:8" x14ac:dyDescent="0.3">
      <c r="A80" s="1">
        <v>76</v>
      </c>
      <c r="B80" s="1" t="s">
        <v>8</v>
      </c>
      <c r="C80" s="1" t="s">
        <v>9</v>
      </c>
      <c r="D80" s="1" t="s">
        <v>15</v>
      </c>
      <c r="E80" s="1" t="s">
        <v>11</v>
      </c>
      <c r="F80" s="1" t="s">
        <v>12</v>
      </c>
      <c r="G80" s="1">
        <v>8</v>
      </c>
      <c r="H80" s="1">
        <v>163.84</v>
      </c>
    </row>
    <row r="81" spans="1:8" x14ac:dyDescent="0.3">
      <c r="A81" s="1">
        <v>77</v>
      </c>
      <c r="B81" s="1" t="s">
        <v>13</v>
      </c>
      <c r="C81" s="1" t="s">
        <v>14</v>
      </c>
      <c r="D81" s="1" t="s">
        <v>15</v>
      </c>
      <c r="E81" s="1" t="s">
        <v>23</v>
      </c>
      <c r="F81" s="1" t="s">
        <v>17</v>
      </c>
      <c r="G81" s="1">
        <v>10</v>
      </c>
      <c r="H81" s="1">
        <v>108.71</v>
      </c>
    </row>
    <row r="82" spans="1:8" x14ac:dyDescent="0.3">
      <c r="A82" s="1">
        <v>78</v>
      </c>
      <c r="B82" s="1" t="s">
        <v>8</v>
      </c>
      <c r="C82" s="1" t="s">
        <v>20</v>
      </c>
      <c r="D82" s="1" t="s">
        <v>15</v>
      </c>
      <c r="E82" s="1" t="s">
        <v>18</v>
      </c>
      <c r="F82" s="1" t="s">
        <v>24</v>
      </c>
      <c r="G82" s="1">
        <v>20</v>
      </c>
      <c r="H82" s="1">
        <v>144.02000000000001</v>
      </c>
    </row>
    <row r="83" spans="1:8" x14ac:dyDescent="0.3">
      <c r="A83" s="1">
        <v>79</v>
      </c>
      <c r="B83" s="1" t="s">
        <v>13</v>
      </c>
      <c r="C83" s="1" t="s">
        <v>14</v>
      </c>
      <c r="D83" s="1" t="s">
        <v>15</v>
      </c>
      <c r="E83" s="1" t="s">
        <v>16</v>
      </c>
      <c r="F83" s="1" t="s">
        <v>24</v>
      </c>
      <c r="G83" s="1">
        <v>11</v>
      </c>
      <c r="H83" s="1">
        <v>166.9</v>
      </c>
    </row>
    <row r="84" spans="1:8" x14ac:dyDescent="0.3">
      <c r="A84" s="1">
        <v>80</v>
      </c>
      <c r="B84" s="1" t="s">
        <v>8</v>
      </c>
      <c r="C84" s="1" t="s">
        <v>9</v>
      </c>
      <c r="D84" s="1" t="s">
        <v>10</v>
      </c>
      <c r="E84" s="1" t="s">
        <v>16</v>
      </c>
      <c r="F84" s="1" t="s">
        <v>17</v>
      </c>
      <c r="G84" s="1">
        <v>16</v>
      </c>
      <c r="H84" s="1">
        <v>284.19</v>
      </c>
    </row>
    <row r="85" spans="1:8" x14ac:dyDescent="0.3">
      <c r="A85" s="1">
        <v>81</v>
      </c>
      <c r="B85" s="1" t="s">
        <v>8</v>
      </c>
      <c r="C85" s="1" t="s">
        <v>20</v>
      </c>
      <c r="D85" s="1" t="s">
        <v>15</v>
      </c>
      <c r="E85" s="1" t="s">
        <v>23</v>
      </c>
      <c r="F85" s="1" t="s">
        <v>22</v>
      </c>
      <c r="G85" s="1">
        <v>20</v>
      </c>
      <c r="H85" s="1">
        <v>285.89999999999998</v>
      </c>
    </row>
    <row r="86" spans="1:8" x14ac:dyDescent="0.3">
      <c r="A86" s="1">
        <v>82</v>
      </c>
      <c r="B86" s="1" t="s">
        <v>8</v>
      </c>
      <c r="C86" s="1" t="s">
        <v>20</v>
      </c>
      <c r="D86" s="1" t="s">
        <v>10</v>
      </c>
      <c r="E86" s="1" t="s">
        <v>23</v>
      </c>
      <c r="F86" s="1" t="s">
        <v>19</v>
      </c>
      <c r="G86" s="1">
        <v>15</v>
      </c>
      <c r="H86" s="1">
        <v>225.34</v>
      </c>
    </row>
    <row r="87" spans="1:8" x14ac:dyDescent="0.3">
      <c r="A87" s="1">
        <v>83</v>
      </c>
      <c r="B87" s="1" t="s">
        <v>13</v>
      </c>
      <c r="C87" s="1" t="s">
        <v>14</v>
      </c>
      <c r="D87" s="1" t="s">
        <v>15</v>
      </c>
      <c r="E87" s="1" t="s">
        <v>23</v>
      </c>
      <c r="F87" s="1" t="s">
        <v>22</v>
      </c>
      <c r="G87" s="1">
        <v>8</v>
      </c>
      <c r="H87" s="1">
        <v>118.9</v>
      </c>
    </row>
    <row r="88" spans="1:8" x14ac:dyDescent="0.3">
      <c r="A88" s="1">
        <v>84</v>
      </c>
      <c r="B88" s="1" t="s">
        <v>8</v>
      </c>
      <c r="C88" s="1" t="s">
        <v>9</v>
      </c>
      <c r="D88" s="1" t="s">
        <v>10</v>
      </c>
      <c r="E88" s="1" t="s">
        <v>16</v>
      </c>
      <c r="F88" s="1" t="s">
        <v>24</v>
      </c>
      <c r="G88" s="1">
        <v>10</v>
      </c>
      <c r="H88" s="1">
        <v>187.89</v>
      </c>
    </row>
    <row r="89" spans="1:8" x14ac:dyDescent="0.3">
      <c r="A89" s="1">
        <v>85</v>
      </c>
      <c r="B89" s="1" t="s">
        <v>8</v>
      </c>
      <c r="C89" s="1" t="s">
        <v>20</v>
      </c>
      <c r="D89" s="1" t="s">
        <v>15</v>
      </c>
      <c r="E89" s="1" t="s">
        <v>21</v>
      </c>
      <c r="F89" s="1" t="s">
        <v>22</v>
      </c>
      <c r="G89" s="1">
        <v>13</v>
      </c>
      <c r="H89" s="1">
        <v>52.72</v>
      </c>
    </row>
    <row r="90" spans="1:8" x14ac:dyDescent="0.3">
      <c r="A90" s="1">
        <v>86</v>
      </c>
      <c r="B90" s="1" t="s">
        <v>13</v>
      </c>
      <c r="C90" s="1" t="s">
        <v>14</v>
      </c>
      <c r="D90" s="1" t="s">
        <v>15</v>
      </c>
      <c r="E90" s="1" t="s">
        <v>23</v>
      </c>
      <c r="F90" s="1" t="s">
        <v>24</v>
      </c>
      <c r="G90" s="1">
        <v>10</v>
      </c>
      <c r="H90" s="1">
        <v>53.5</v>
      </c>
    </row>
    <row r="91" spans="1:8" x14ac:dyDescent="0.3">
      <c r="A91" s="1">
        <v>87</v>
      </c>
      <c r="B91" s="1" t="s">
        <v>8</v>
      </c>
      <c r="C91" s="1" t="s">
        <v>20</v>
      </c>
      <c r="D91" s="1" t="s">
        <v>10</v>
      </c>
      <c r="E91" s="1" t="s">
        <v>11</v>
      </c>
      <c r="G91" s="1">
        <v>2</v>
      </c>
      <c r="H91" s="1">
        <v>5.86</v>
      </c>
    </row>
    <row r="92" spans="1:8" x14ac:dyDescent="0.3">
      <c r="A92" s="1">
        <v>88</v>
      </c>
      <c r="B92" s="1" t="s">
        <v>8</v>
      </c>
      <c r="C92" s="1" t="s">
        <v>9</v>
      </c>
      <c r="D92" s="1" t="s">
        <v>15</v>
      </c>
      <c r="E92" s="1" t="s">
        <v>23</v>
      </c>
      <c r="F92" s="1" t="s">
        <v>17</v>
      </c>
      <c r="G92" s="1">
        <v>8</v>
      </c>
      <c r="H92" s="1">
        <v>118.73</v>
      </c>
    </row>
    <row r="93" spans="1:8" x14ac:dyDescent="0.3">
      <c r="A93" s="1">
        <v>89</v>
      </c>
      <c r="B93" s="1" t="s">
        <v>8</v>
      </c>
      <c r="C93" s="1" t="s">
        <v>20</v>
      </c>
      <c r="D93" s="1" t="s">
        <v>15</v>
      </c>
      <c r="E93" s="1" t="s">
        <v>21</v>
      </c>
      <c r="F93" s="1" t="s">
        <v>24</v>
      </c>
      <c r="G93" s="1">
        <v>2</v>
      </c>
      <c r="H93" s="1">
        <v>41.97</v>
      </c>
    </row>
    <row r="94" spans="1:8" x14ac:dyDescent="0.3">
      <c r="A94" s="1">
        <v>90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22</v>
      </c>
      <c r="G94" s="1">
        <v>10</v>
      </c>
      <c r="H94" s="1">
        <v>114.6</v>
      </c>
    </row>
    <row r="95" spans="1:8" x14ac:dyDescent="0.3">
      <c r="A95" s="1">
        <v>91</v>
      </c>
      <c r="B95" s="1" t="s">
        <v>8</v>
      </c>
      <c r="C95" s="1" t="s">
        <v>20</v>
      </c>
      <c r="D95" s="1" t="s">
        <v>10</v>
      </c>
      <c r="E95" s="1" t="s">
        <v>23</v>
      </c>
      <c r="F95" s="1" t="s">
        <v>22</v>
      </c>
      <c r="G95" s="1">
        <v>3</v>
      </c>
      <c r="H95" s="1">
        <v>59.61</v>
      </c>
    </row>
    <row r="96" spans="1:8" x14ac:dyDescent="0.3">
      <c r="A96" s="1">
        <v>92</v>
      </c>
      <c r="B96" s="1" t="s">
        <v>13</v>
      </c>
      <c r="C96" s="1" t="s">
        <v>14</v>
      </c>
      <c r="D96" s="1" t="s">
        <v>10</v>
      </c>
      <c r="E96" s="1" t="s">
        <v>16</v>
      </c>
      <c r="F96" s="1" t="s">
        <v>12</v>
      </c>
      <c r="G96" s="1">
        <v>2</v>
      </c>
      <c r="H96" s="1">
        <v>40.869999999999997</v>
      </c>
    </row>
    <row r="97" spans="1:8" x14ac:dyDescent="0.3">
      <c r="A97" s="1">
        <v>93</v>
      </c>
      <c r="B97" s="1" t="s">
        <v>8</v>
      </c>
      <c r="C97" s="1" t="s">
        <v>9</v>
      </c>
      <c r="D97" s="1" t="s">
        <v>10</v>
      </c>
      <c r="E97" s="1" t="s">
        <v>18</v>
      </c>
      <c r="F97" s="1" t="s">
        <v>17</v>
      </c>
      <c r="G97" s="1">
        <v>12</v>
      </c>
      <c r="H97" s="1">
        <v>128.79</v>
      </c>
    </row>
    <row r="98" spans="1:8" x14ac:dyDescent="0.3">
      <c r="A98" s="1">
        <v>94</v>
      </c>
      <c r="B98" s="1" t="s">
        <v>13</v>
      </c>
      <c r="C98" s="1" t="s">
        <v>14</v>
      </c>
      <c r="D98" s="1" t="s">
        <v>10</v>
      </c>
      <c r="E98" s="1" t="s">
        <v>23</v>
      </c>
      <c r="F98" s="1" t="s">
        <v>19</v>
      </c>
      <c r="G98" s="1">
        <v>9</v>
      </c>
      <c r="H98" s="1">
        <v>54.41</v>
      </c>
    </row>
    <row r="99" spans="1:8" x14ac:dyDescent="0.3">
      <c r="A99" s="1">
        <v>95</v>
      </c>
      <c r="B99" s="1" t="s">
        <v>13</v>
      </c>
      <c r="C99" s="1" t="s">
        <v>14</v>
      </c>
      <c r="D99" s="1" t="s">
        <v>15</v>
      </c>
      <c r="E99" s="1" t="s">
        <v>11</v>
      </c>
      <c r="F99" s="1" t="s">
        <v>17</v>
      </c>
      <c r="G99" s="1">
        <v>9</v>
      </c>
      <c r="H99" s="1">
        <v>173.73</v>
      </c>
    </row>
    <row r="100" spans="1:8" x14ac:dyDescent="0.3">
      <c r="A100" s="1">
        <v>96</v>
      </c>
      <c r="B100" s="1" t="s">
        <v>8</v>
      </c>
      <c r="C100" s="1" t="s">
        <v>9</v>
      </c>
      <c r="D100" s="1" t="s">
        <v>10</v>
      </c>
      <c r="E100" s="1" t="s">
        <v>18</v>
      </c>
      <c r="F100" s="1" t="s">
        <v>24</v>
      </c>
      <c r="G100" s="1">
        <v>1</v>
      </c>
      <c r="H100" s="1">
        <v>7.38</v>
      </c>
    </row>
    <row r="101" spans="1:8" x14ac:dyDescent="0.3">
      <c r="A101" s="1">
        <v>97</v>
      </c>
      <c r="B101" s="1" t="s">
        <v>13</v>
      </c>
      <c r="C101" s="1" t="s">
        <v>14</v>
      </c>
      <c r="D101" s="1" t="s">
        <v>10</v>
      </c>
      <c r="E101" s="1" t="s">
        <v>23</v>
      </c>
      <c r="F101" s="1" t="s">
        <v>24</v>
      </c>
      <c r="G101" s="1">
        <v>17</v>
      </c>
      <c r="H101" s="1">
        <v>341.61</v>
      </c>
    </row>
    <row r="102" spans="1:8" x14ac:dyDescent="0.3">
      <c r="A102" s="1">
        <v>98</v>
      </c>
      <c r="B102" s="1" t="s">
        <v>13</v>
      </c>
      <c r="C102" s="1" t="s">
        <v>14</v>
      </c>
      <c r="D102" s="1" t="s">
        <v>15</v>
      </c>
      <c r="E102" s="1" t="s">
        <v>16</v>
      </c>
      <c r="F102" s="1" t="s">
        <v>12</v>
      </c>
      <c r="G102" s="1">
        <v>3</v>
      </c>
      <c r="H102" s="1">
        <v>49.92</v>
      </c>
    </row>
    <row r="103" spans="1:8" x14ac:dyDescent="0.3">
      <c r="A103" s="1">
        <v>99</v>
      </c>
      <c r="B103" s="1" t="s">
        <v>8</v>
      </c>
      <c r="C103" s="1" t="s">
        <v>9</v>
      </c>
      <c r="D103" s="1" t="s">
        <v>15</v>
      </c>
      <c r="E103" s="1" t="s">
        <v>21</v>
      </c>
      <c r="G103" s="1">
        <v>17</v>
      </c>
      <c r="H103" s="1">
        <v>277.39999999999998</v>
      </c>
    </row>
    <row r="104" spans="1:8" x14ac:dyDescent="0.3">
      <c r="A104" s="1">
        <v>100</v>
      </c>
      <c r="B104" s="1" t="s">
        <v>8</v>
      </c>
      <c r="C104" s="1" t="s">
        <v>20</v>
      </c>
      <c r="D104" s="1" t="s">
        <v>10</v>
      </c>
      <c r="E104" s="1" t="s">
        <v>16</v>
      </c>
      <c r="F104" s="1" t="s">
        <v>24</v>
      </c>
      <c r="G104" s="1">
        <v>18</v>
      </c>
      <c r="H104" s="1">
        <v>204.54</v>
      </c>
    </row>
    <row r="105" spans="1:8" x14ac:dyDescent="0.3">
      <c r="A105" s="1">
        <v>101</v>
      </c>
      <c r="B105" s="1" t="s">
        <v>13</v>
      </c>
      <c r="C105" s="1" t="s">
        <v>14</v>
      </c>
      <c r="D105" s="1" t="s">
        <v>10</v>
      </c>
      <c r="E105" s="1" t="s">
        <v>23</v>
      </c>
      <c r="F105" s="1" t="s">
        <v>22</v>
      </c>
      <c r="G105" s="1">
        <v>20</v>
      </c>
      <c r="H105" s="1">
        <v>90.74</v>
      </c>
    </row>
    <row r="106" spans="1:8" x14ac:dyDescent="0.3">
      <c r="A106" s="1">
        <v>102</v>
      </c>
      <c r="B106" s="1" t="s">
        <v>8</v>
      </c>
      <c r="C106" s="1" t="s">
        <v>9</v>
      </c>
      <c r="D106" s="1" t="s">
        <v>15</v>
      </c>
      <c r="E106" s="1" t="s">
        <v>16</v>
      </c>
      <c r="F106" s="1" t="s">
        <v>24</v>
      </c>
      <c r="G106" s="1">
        <v>4</v>
      </c>
      <c r="H106" s="1">
        <v>71.430000000000007</v>
      </c>
    </row>
    <row r="107" spans="1:8" x14ac:dyDescent="0.3">
      <c r="A107" s="1">
        <v>103</v>
      </c>
      <c r="B107" s="1" t="s">
        <v>8</v>
      </c>
      <c r="C107" s="1" t="s">
        <v>9</v>
      </c>
      <c r="D107" s="1" t="s">
        <v>15</v>
      </c>
      <c r="E107" s="1" t="s">
        <v>23</v>
      </c>
      <c r="F107" s="1" t="s">
        <v>12</v>
      </c>
      <c r="G107" s="1">
        <v>9</v>
      </c>
      <c r="H107" s="1">
        <v>85.61</v>
      </c>
    </row>
    <row r="108" spans="1:8" x14ac:dyDescent="0.3">
      <c r="A108" s="1">
        <v>104</v>
      </c>
      <c r="B108" s="1" t="s">
        <v>8</v>
      </c>
      <c r="C108" s="1" t="s">
        <v>9</v>
      </c>
      <c r="D108" s="1" t="s">
        <v>15</v>
      </c>
      <c r="E108" s="1" t="s">
        <v>11</v>
      </c>
      <c r="F108" s="1" t="s">
        <v>24</v>
      </c>
      <c r="G108" s="1">
        <v>18</v>
      </c>
      <c r="H108" s="1">
        <v>351.3</v>
      </c>
    </row>
    <row r="109" spans="1:8" x14ac:dyDescent="0.3">
      <c r="A109" s="1">
        <v>105</v>
      </c>
      <c r="B109" s="1" t="s">
        <v>13</v>
      </c>
      <c r="C109" s="1" t="s">
        <v>14</v>
      </c>
      <c r="D109" s="1" t="s">
        <v>10</v>
      </c>
      <c r="E109" s="1" t="s">
        <v>23</v>
      </c>
      <c r="F109" s="1" t="s">
        <v>24</v>
      </c>
      <c r="G109" s="1">
        <v>18</v>
      </c>
      <c r="H109" s="1">
        <v>119.99</v>
      </c>
    </row>
    <row r="110" spans="1:8" x14ac:dyDescent="0.3">
      <c r="A110" s="1">
        <v>106</v>
      </c>
      <c r="B110" s="1" t="s">
        <v>8</v>
      </c>
      <c r="C110" s="1" t="s">
        <v>20</v>
      </c>
      <c r="D110" s="1" t="s">
        <v>15</v>
      </c>
      <c r="E110" s="1" t="s">
        <v>18</v>
      </c>
      <c r="F110" s="1" t="s">
        <v>22</v>
      </c>
      <c r="G110" s="1">
        <v>2</v>
      </c>
      <c r="H110" s="1">
        <v>2.1800000000000002</v>
      </c>
    </row>
    <row r="111" spans="1:8" x14ac:dyDescent="0.3">
      <c r="A111" s="1">
        <v>107</v>
      </c>
      <c r="B111" s="1" t="s">
        <v>8</v>
      </c>
      <c r="C111" s="1" t="s">
        <v>9</v>
      </c>
      <c r="D111" s="1" t="s">
        <v>10</v>
      </c>
      <c r="E111" s="1" t="s">
        <v>21</v>
      </c>
      <c r="F111" s="1" t="s">
        <v>12</v>
      </c>
      <c r="G111" s="1">
        <v>6</v>
      </c>
      <c r="H111" s="1">
        <v>28.89</v>
      </c>
    </row>
    <row r="112" spans="1:8" x14ac:dyDescent="0.3">
      <c r="A112" s="1">
        <v>108</v>
      </c>
      <c r="B112" s="1" t="s">
        <v>13</v>
      </c>
      <c r="C112" s="1" t="s">
        <v>14</v>
      </c>
      <c r="D112" s="1" t="s">
        <v>15</v>
      </c>
      <c r="E112" s="1" t="s">
        <v>21</v>
      </c>
      <c r="F112" s="1" t="s">
        <v>17</v>
      </c>
      <c r="G112" s="1">
        <v>15</v>
      </c>
      <c r="H112" s="1">
        <v>117.33</v>
      </c>
    </row>
    <row r="113" spans="1:8" x14ac:dyDescent="0.3">
      <c r="A113" s="1">
        <v>109</v>
      </c>
      <c r="B113" s="1" t="s">
        <v>13</v>
      </c>
      <c r="C113" s="1" t="s">
        <v>14</v>
      </c>
      <c r="D113" s="1" t="s">
        <v>15</v>
      </c>
      <c r="E113" s="1" t="s">
        <v>23</v>
      </c>
      <c r="F113" s="1" t="s">
        <v>19</v>
      </c>
      <c r="G113" s="1">
        <v>9</v>
      </c>
      <c r="H113" s="1">
        <v>162.75</v>
      </c>
    </row>
    <row r="114" spans="1:8" x14ac:dyDescent="0.3">
      <c r="A114" s="1">
        <v>110</v>
      </c>
      <c r="B114" s="1" t="s">
        <v>8</v>
      </c>
      <c r="C114" s="1" t="s">
        <v>9</v>
      </c>
      <c r="D114" s="1" t="s">
        <v>10</v>
      </c>
      <c r="E114" s="1" t="s">
        <v>21</v>
      </c>
      <c r="F114" s="1" t="s">
        <v>24</v>
      </c>
      <c r="G114" s="1">
        <v>13</v>
      </c>
      <c r="H114" s="1">
        <v>82.21</v>
      </c>
    </row>
    <row r="115" spans="1:8" x14ac:dyDescent="0.3">
      <c r="A115" s="1">
        <v>111</v>
      </c>
      <c r="B115" s="1" t="s">
        <v>8</v>
      </c>
      <c r="C115" s="1" t="s">
        <v>20</v>
      </c>
      <c r="D115" s="1" t="s">
        <v>10</v>
      </c>
      <c r="E115" s="1" t="s">
        <v>18</v>
      </c>
      <c r="F115" s="1" t="s">
        <v>22</v>
      </c>
      <c r="G115" s="1">
        <v>9</v>
      </c>
      <c r="H115" s="1">
        <v>144.16</v>
      </c>
    </row>
    <row r="116" spans="1:8" x14ac:dyDescent="0.3">
      <c r="A116" s="1">
        <v>112</v>
      </c>
      <c r="B116" s="1" t="s">
        <v>8</v>
      </c>
      <c r="C116" s="1" t="s">
        <v>9</v>
      </c>
      <c r="D116" s="1" t="s">
        <v>10</v>
      </c>
      <c r="E116" s="1" t="s">
        <v>18</v>
      </c>
      <c r="F116" s="1" t="s">
        <v>24</v>
      </c>
      <c r="G116" s="1">
        <v>9</v>
      </c>
      <c r="H116" s="1">
        <v>96.69</v>
      </c>
    </row>
    <row r="117" spans="1:8" x14ac:dyDescent="0.3">
      <c r="A117" s="1">
        <v>113</v>
      </c>
      <c r="B117" s="1" t="s">
        <v>8</v>
      </c>
      <c r="C117" s="1" t="s">
        <v>20</v>
      </c>
      <c r="D117" s="1" t="s">
        <v>10</v>
      </c>
      <c r="E117" s="1" t="s">
        <v>18</v>
      </c>
      <c r="F117" s="1" t="s">
        <v>24</v>
      </c>
      <c r="G117" s="1">
        <v>3</v>
      </c>
      <c r="H117" s="1">
        <v>67.06</v>
      </c>
    </row>
    <row r="118" spans="1:8" x14ac:dyDescent="0.3">
      <c r="A118" s="1">
        <v>114</v>
      </c>
      <c r="B118" s="1" t="s">
        <v>8</v>
      </c>
      <c r="C118" s="1" t="s">
        <v>20</v>
      </c>
      <c r="D118" s="1" t="s">
        <v>10</v>
      </c>
      <c r="E118" s="1" t="s">
        <v>21</v>
      </c>
      <c r="F118" s="1" t="s">
        <v>19</v>
      </c>
      <c r="G118" s="1">
        <v>15</v>
      </c>
      <c r="H118" s="1">
        <v>150.55000000000001</v>
      </c>
    </row>
    <row r="119" spans="1:8" x14ac:dyDescent="0.3">
      <c r="A119" s="1">
        <v>115</v>
      </c>
      <c r="B119" s="1" t="s">
        <v>8</v>
      </c>
      <c r="C119" s="1" t="s">
        <v>9</v>
      </c>
      <c r="D119" s="1" t="s">
        <v>15</v>
      </c>
      <c r="E119" s="1" t="s">
        <v>23</v>
      </c>
      <c r="F119" s="1" t="s">
        <v>12</v>
      </c>
      <c r="G119" s="1">
        <v>11</v>
      </c>
      <c r="H119" s="1">
        <v>56.14</v>
      </c>
    </row>
    <row r="120" spans="1:8" x14ac:dyDescent="0.3">
      <c r="A120" s="1">
        <v>116</v>
      </c>
      <c r="B120" s="1" t="s">
        <v>8</v>
      </c>
      <c r="C120" s="1" t="s">
        <v>9</v>
      </c>
      <c r="D120" s="1" t="s">
        <v>15</v>
      </c>
      <c r="E120" s="1" t="s">
        <v>18</v>
      </c>
      <c r="F120" s="1" t="s">
        <v>12</v>
      </c>
      <c r="G120" s="1">
        <v>19</v>
      </c>
      <c r="H120" s="1">
        <v>142.51</v>
      </c>
    </row>
    <row r="121" spans="1:8" x14ac:dyDescent="0.3">
      <c r="A121" s="1">
        <v>117</v>
      </c>
      <c r="B121" s="1" t="s">
        <v>8</v>
      </c>
      <c r="C121" s="1" t="s">
        <v>20</v>
      </c>
      <c r="D121" s="1" t="s">
        <v>10</v>
      </c>
      <c r="E121" s="1" t="s">
        <v>11</v>
      </c>
      <c r="F121" s="1" t="s">
        <v>17</v>
      </c>
      <c r="G121" s="1">
        <v>18</v>
      </c>
      <c r="H121" s="1">
        <v>243.64</v>
      </c>
    </row>
    <row r="122" spans="1:8" x14ac:dyDescent="0.3">
      <c r="A122" s="1">
        <v>118</v>
      </c>
      <c r="B122" s="1" t="s">
        <v>13</v>
      </c>
      <c r="C122" s="1" t="s">
        <v>14</v>
      </c>
      <c r="D122" s="1" t="s">
        <v>10</v>
      </c>
      <c r="E122" s="1" t="s">
        <v>21</v>
      </c>
      <c r="F122" s="1" t="s">
        <v>19</v>
      </c>
      <c r="G122" s="1">
        <v>16</v>
      </c>
      <c r="H122" s="1">
        <v>92.79</v>
      </c>
    </row>
    <row r="123" spans="1:8" x14ac:dyDescent="0.3">
      <c r="A123" s="1">
        <v>119</v>
      </c>
      <c r="B123" s="1" t="s">
        <v>8</v>
      </c>
      <c r="C123" s="1" t="s">
        <v>20</v>
      </c>
      <c r="D123" s="1" t="s">
        <v>15</v>
      </c>
      <c r="E123" s="1" t="s">
        <v>18</v>
      </c>
      <c r="F123" s="1" t="s">
        <v>17</v>
      </c>
      <c r="G123" s="1">
        <v>7</v>
      </c>
      <c r="H123" s="1">
        <v>131.9</v>
      </c>
    </row>
    <row r="124" spans="1:8" x14ac:dyDescent="0.3">
      <c r="A124" s="1">
        <v>120</v>
      </c>
      <c r="B124" s="1" t="s">
        <v>8</v>
      </c>
      <c r="C124" s="1" t="s">
        <v>9</v>
      </c>
      <c r="D124" s="1" t="s">
        <v>15</v>
      </c>
      <c r="E124" s="1" t="s">
        <v>23</v>
      </c>
      <c r="F124" s="1" t="s">
        <v>24</v>
      </c>
      <c r="G124" s="1">
        <v>9</v>
      </c>
      <c r="H124" s="1">
        <v>44.68</v>
      </c>
    </row>
    <row r="125" spans="1:8" x14ac:dyDescent="0.3">
      <c r="A125" s="1">
        <v>121</v>
      </c>
      <c r="B125" s="1" t="s">
        <v>13</v>
      </c>
      <c r="C125" s="1" t="s">
        <v>14</v>
      </c>
      <c r="D125" s="1" t="s">
        <v>10</v>
      </c>
      <c r="E125" s="1" t="s">
        <v>16</v>
      </c>
      <c r="F125" s="1" t="s">
        <v>12</v>
      </c>
      <c r="G125" s="1">
        <v>4</v>
      </c>
      <c r="H125" s="1">
        <v>7.19</v>
      </c>
    </row>
    <row r="126" spans="1:8" x14ac:dyDescent="0.3">
      <c r="A126" s="1">
        <v>122</v>
      </c>
      <c r="B126" s="1" t="s">
        <v>8</v>
      </c>
      <c r="C126" s="1" t="s">
        <v>9</v>
      </c>
      <c r="D126" s="1" t="s">
        <v>15</v>
      </c>
      <c r="E126" s="1" t="s">
        <v>21</v>
      </c>
      <c r="F126" s="1" t="s">
        <v>22</v>
      </c>
      <c r="G126" s="1">
        <v>12</v>
      </c>
      <c r="H126" s="1">
        <v>41.09</v>
      </c>
    </row>
    <row r="127" spans="1:8" x14ac:dyDescent="0.3">
      <c r="A127" s="1">
        <v>123</v>
      </c>
      <c r="B127" s="1" t="s">
        <v>8</v>
      </c>
      <c r="C127" s="1" t="s">
        <v>20</v>
      </c>
      <c r="D127" s="1" t="s">
        <v>15</v>
      </c>
      <c r="E127" s="1" t="s">
        <v>11</v>
      </c>
      <c r="F127" s="1" t="s">
        <v>12</v>
      </c>
      <c r="G127" s="1">
        <v>11</v>
      </c>
      <c r="H127" s="1">
        <v>39.19</v>
      </c>
    </row>
    <row r="128" spans="1:8" x14ac:dyDescent="0.3">
      <c r="A128" s="1">
        <v>124</v>
      </c>
      <c r="B128" s="1" t="s">
        <v>8</v>
      </c>
      <c r="C128" s="1" t="s">
        <v>9</v>
      </c>
      <c r="D128" s="1" t="s">
        <v>10</v>
      </c>
      <c r="E128" s="1" t="s">
        <v>21</v>
      </c>
      <c r="F128" s="1" t="s">
        <v>22</v>
      </c>
      <c r="G128" s="1">
        <v>4</v>
      </c>
      <c r="H128" s="1">
        <v>63.81</v>
      </c>
    </row>
    <row r="129" spans="1:8" x14ac:dyDescent="0.3">
      <c r="A129" s="1">
        <v>125</v>
      </c>
      <c r="B129" s="1" t="s">
        <v>8</v>
      </c>
      <c r="C129" s="1" t="s">
        <v>9</v>
      </c>
      <c r="D129" s="1" t="s">
        <v>10</v>
      </c>
      <c r="E129" s="1" t="s">
        <v>11</v>
      </c>
      <c r="F129" s="1" t="s">
        <v>22</v>
      </c>
      <c r="G129" s="1">
        <v>6</v>
      </c>
      <c r="H129" s="1">
        <v>43.91</v>
      </c>
    </row>
    <row r="130" spans="1:8" x14ac:dyDescent="0.3">
      <c r="A130" s="1">
        <v>126</v>
      </c>
      <c r="B130" s="1" t="s">
        <v>8</v>
      </c>
      <c r="C130" s="1" t="s">
        <v>9</v>
      </c>
      <c r="D130" s="1" t="s">
        <v>10</v>
      </c>
      <c r="E130" s="1" t="s">
        <v>21</v>
      </c>
      <c r="F130" s="1" t="s">
        <v>19</v>
      </c>
      <c r="G130" s="1">
        <v>10</v>
      </c>
      <c r="H130" s="1">
        <v>217.96</v>
      </c>
    </row>
    <row r="131" spans="1:8" x14ac:dyDescent="0.3">
      <c r="A131" s="1">
        <v>127</v>
      </c>
      <c r="B131" s="1" t="s">
        <v>8</v>
      </c>
      <c r="C131" s="1" t="s">
        <v>9</v>
      </c>
      <c r="D131" s="1" t="s">
        <v>15</v>
      </c>
      <c r="E131" s="1" t="s">
        <v>18</v>
      </c>
      <c r="F131" s="1" t="s">
        <v>24</v>
      </c>
      <c r="G131" s="1">
        <v>10</v>
      </c>
      <c r="H131" s="1">
        <v>11.66</v>
      </c>
    </row>
    <row r="132" spans="1:8" x14ac:dyDescent="0.3">
      <c r="A132" s="1">
        <v>128</v>
      </c>
      <c r="B132" s="1" t="s">
        <v>8</v>
      </c>
      <c r="C132" s="1" t="s">
        <v>20</v>
      </c>
      <c r="D132" s="1" t="s">
        <v>10</v>
      </c>
      <c r="E132" s="1" t="s">
        <v>16</v>
      </c>
      <c r="F132" s="1" t="s">
        <v>19</v>
      </c>
      <c r="G132" s="1">
        <v>5</v>
      </c>
      <c r="H132" s="1">
        <v>14.87</v>
      </c>
    </row>
    <row r="133" spans="1:8" x14ac:dyDescent="0.3">
      <c r="A133" s="1">
        <v>129</v>
      </c>
      <c r="B133" s="1" t="s">
        <v>8</v>
      </c>
      <c r="C133" s="1" t="s">
        <v>20</v>
      </c>
      <c r="D133" s="1" t="s">
        <v>10</v>
      </c>
      <c r="E133" s="1" t="s">
        <v>11</v>
      </c>
      <c r="F133" s="1" t="s">
        <v>24</v>
      </c>
      <c r="G133" s="1">
        <v>4</v>
      </c>
      <c r="H133" s="1">
        <v>66.430000000000007</v>
      </c>
    </row>
    <row r="134" spans="1:8" x14ac:dyDescent="0.3">
      <c r="A134" s="1">
        <v>130</v>
      </c>
      <c r="B134" s="1" t="s">
        <v>13</v>
      </c>
      <c r="C134" s="1" t="s">
        <v>14</v>
      </c>
      <c r="D134" s="1" t="s">
        <v>10</v>
      </c>
      <c r="E134" s="1" t="s">
        <v>11</v>
      </c>
      <c r="F134" s="1" t="s">
        <v>22</v>
      </c>
      <c r="G134" s="1">
        <v>16</v>
      </c>
      <c r="H134" s="1">
        <v>225.64</v>
      </c>
    </row>
    <row r="135" spans="1:8" x14ac:dyDescent="0.3">
      <c r="A135" s="1">
        <v>131</v>
      </c>
      <c r="B135" s="1" t="s">
        <v>8</v>
      </c>
      <c r="C135" s="1" t="s">
        <v>9</v>
      </c>
      <c r="D135" s="1" t="s">
        <v>15</v>
      </c>
      <c r="E135" s="1" t="s">
        <v>11</v>
      </c>
      <c r="F135" s="1" t="s">
        <v>12</v>
      </c>
      <c r="G135" s="1">
        <v>19</v>
      </c>
      <c r="H135" s="1">
        <v>125.44</v>
      </c>
    </row>
    <row r="136" spans="1:8" x14ac:dyDescent="0.3">
      <c r="A136" s="1">
        <v>132</v>
      </c>
      <c r="B136" s="1" t="s">
        <v>8</v>
      </c>
      <c r="C136" s="1" t="s">
        <v>20</v>
      </c>
      <c r="D136" s="1" t="s">
        <v>15</v>
      </c>
      <c r="E136" s="1" t="s">
        <v>23</v>
      </c>
      <c r="F136" s="1" t="s">
        <v>22</v>
      </c>
      <c r="G136" s="1">
        <v>17</v>
      </c>
      <c r="H136" s="1">
        <v>218.46</v>
      </c>
    </row>
    <row r="137" spans="1:8" x14ac:dyDescent="0.3">
      <c r="A137" s="1">
        <v>133</v>
      </c>
      <c r="B137" s="1" t="s">
        <v>8</v>
      </c>
      <c r="C137" s="1" t="s">
        <v>20</v>
      </c>
      <c r="D137" s="1" t="s">
        <v>15</v>
      </c>
      <c r="E137" s="1" t="s">
        <v>18</v>
      </c>
      <c r="F137" s="1" t="s">
        <v>19</v>
      </c>
      <c r="G137" s="1">
        <v>14</v>
      </c>
      <c r="H137" s="1">
        <v>258.41000000000003</v>
      </c>
    </row>
    <row r="138" spans="1:8" x14ac:dyDescent="0.3">
      <c r="A138" s="1">
        <v>134</v>
      </c>
      <c r="B138" s="1" t="s">
        <v>8</v>
      </c>
      <c r="C138" s="1" t="s">
        <v>9</v>
      </c>
      <c r="D138" s="1" t="s">
        <v>10</v>
      </c>
      <c r="E138" s="1" t="s">
        <v>18</v>
      </c>
      <c r="F138" s="1" t="s">
        <v>24</v>
      </c>
      <c r="G138" s="1">
        <v>11</v>
      </c>
      <c r="H138" s="1">
        <v>203.03</v>
      </c>
    </row>
    <row r="139" spans="1:8" x14ac:dyDescent="0.3">
      <c r="A139" s="1">
        <v>135</v>
      </c>
      <c r="B139" s="1" t="s">
        <v>8</v>
      </c>
      <c r="C139" s="1" t="s">
        <v>9</v>
      </c>
      <c r="D139" s="1" t="s">
        <v>10</v>
      </c>
      <c r="E139" s="1" t="s">
        <v>16</v>
      </c>
      <c r="F139" s="1" t="s">
        <v>24</v>
      </c>
      <c r="G139" s="1">
        <v>19</v>
      </c>
      <c r="H139" s="1">
        <v>418.39</v>
      </c>
    </row>
    <row r="140" spans="1:8" x14ac:dyDescent="0.3">
      <c r="A140" s="1">
        <v>136</v>
      </c>
      <c r="B140" s="1" t="s">
        <v>13</v>
      </c>
      <c r="C140" s="1" t="s">
        <v>14</v>
      </c>
      <c r="D140" s="1" t="s">
        <v>15</v>
      </c>
      <c r="E140" s="1" t="s">
        <v>18</v>
      </c>
      <c r="F140" s="1" t="s">
        <v>24</v>
      </c>
      <c r="G140" s="1">
        <v>1</v>
      </c>
      <c r="H140" s="1">
        <v>5.25</v>
      </c>
    </row>
    <row r="141" spans="1:8" x14ac:dyDescent="0.3">
      <c r="A141" s="1">
        <v>137</v>
      </c>
      <c r="B141" s="1" t="s">
        <v>13</v>
      </c>
      <c r="C141" s="1" t="s">
        <v>14</v>
      </c>
      <c r="D141" s="1" t="s">
        <v>10</v>
      </c>
      <c r="E141" s="1" t="s">
        <v>18</v>
      </c>
      <c r="F141" s="1" t="s">
        <v>22</v>
      </c>
      <c r="G141" s="1">
        <v>2</v>
      </c>
      <c r="H141" s="1">
        <v>38.630000000000003</v>
      </c>
    </row>
    <row r="142" spans="1:8" x14ac:dyDescent="0.3">
      <c r="A142" s="1">
        <v>138</v>
      </c>
      <c r="B142" s="1" t="s">
        <v>13</v>
      </c>
      <c r="C142" s="1" t="s">
        <v>14</v>
      </c>
      <c r="D142" s="1" t="s">
        <v>10</v>
      </c>
      <c r="E142" s="1" t="s">
        <v>16</v>
      </c>
      <c r="F142" s="1" t="s">
        <v>22</v>
      </c>
      <c r="G142" s="1">
        <v>18</v>
      </c>
      <c r="H142" s="1">
        <v>89.75</v>
      </c>
    </row>
    <row r="143" spans="1:8" x14ac:dyDescent="0.3">
      <c r="A143" s="1">
        <v>139</v>
      </c>
      <c r="B143" s="1" t="s">
        <v>8</v>
      </c>
      <c r="C143" s="1" t="s">
        <v>20</v>
      </c>
      <c r="D143" s="1" t="s">
        <v>10</v>
      </c>
      <c r="E143" s="1" t="s">
        <v>11</v>
      </c>
      <c r="F143" s="1" t="s">
        <v>19</v>
      </c>
      <c r="G143" s="1">
        <v>14</v>
      </c>
      <c r="H143" s="1">
        <v>73.25</v>
      </c>
    </row>
    <row r="144" spans="1:8" x14ac:dyDescent="0.3">
      <c r="A144" s="1">
        <v>140</v>
      </c>
      <c r="B144" s="1" t="s">
        <v>13</v>
      </c>
      <c r="C144" s="1" t="s">
        <v>14</v>
      </c>
      <c r="D144" s="1" t="s">
        <v>10</v>
      </c>
      <c r="E144" s="1" t="s">
        <v>23</v>
      </c>
      <c r="F144" s="1" t="s">
        <v>12</v>
      </c>
      <c r="G144" s="1">
        <v>13</v>
      </c>
      <c r="H144" s="1">
        <v>135.07</v>
      </c>
    </row>
    <row r="145" spans="1:8" x14ac:dyDescent="0.3">
      <c r="A145" s="1">
        <v>141</v>
      </c>
      <c r="B145" s="1" t="s">
        <v>8</v>
      </c>
      <c r="C145" s="1" t="s">
        <v>20</v>
      </c>
      <c r="D145" s="1" t="s">
        <v>15</v>
      </c>
      <c r="E145" s="1" t="s">
        <v>16</v>
      </c>
      <c r="F145" s="1" t="s">
        <v>19</v>
      </c>
      <c r="G145" s="1">
        <v>6</v>
      </c>
      <c r="H145" s="1">
        <v>22.08</v>
      </c>
    </row>
    <row r="146" spans="1:8" x14ac:dyDescent="0.3">
      <c r="A146" s="1">
        <v>142</v>
      </c>
      <c r="B146" s="1" t="s">
        <v>8</v>
      </c>
      <c r="C146" s="1" t="s">
        <v>9</v>
      </c>
      <c r="D146" s="1" t="s">
        <v>10</v>
      </c>
      <c r="E146" s="1" t="s">
        <v>16</v>
      </c>
      <c r="F146" s="1" t="s">
        <v>22</v>
      </c>
      <c r="G146" s="1">
        <v>7</v>
      </c>
      <c r="H146" s="1">
        <v>109.2</v>
      </c>
    </row>
    <row r="147" spans="1:8" x14ac:dyDescent="0.3">
      <c r="A147" s="1">
        <v>143</v>
      </c>
      <c r="B147" s="1" t="s">
        <v>8</v>
      </c>
      <c r="C147" s="1" t="s">
        <v>9</v>
      </c>
      <c r="D147" s="1" t="s">
        <v>10</v>
      </c>
      <c r="E147" s="1" t="s">
        <v>11</v>
      </c>
      <c r="F147" s="1" t="s">
        <v>12</v>
      </c>
      <c r="G147" s="1">
        <v>7</v>
      </c>
      <c r="H147" s="1">
        <v>125.01</v>
      </c>
    </row>
    <row r="148" spans="1:8" x14ac:dyDescent="0.3">
      <c r="A148" s="1">
        <v>144</v>
      </c>
      <c r="B148" s="1" t="s">
        <v>8</v>
      </c>
      <c r="C148" s="1" t="s">
        <v>20</v>
      </c>
      <c r="D148" s="1" t="s">
        <v>10</v>
      </c>
      <c r="E148" s="1" t="s">
        <v>11</v>
      </c>
      <c r="F148" s="1" t="s">
        <v>24</v>
      </c>
      <c r="G148" s="1">
        <v>16</v>
      </c>
      <c r="H148" s="1">
        <v>166.41</v>
      </c>
    </row>
    <row r="149" spans="1:8" x14ac:dyDescent="0.3">
      <c r="A149" s="1">
        <v>145</v>
      </c>
      <c r="B149" s="1" t="s">
        <v>13</v>
      </c>
      <c r="C149" s="1" t="s">
        <v>14</v>
      </c>
      <c r="D149" s="1" t="s">
        <v>15</v>
      </c>
      <c r="E149" s="1" t="s">
        <v>11</v>
      </c>
      <c r="F149" s="1" t="s">
        <v>19</v>
      </c>
      <c r="G149" s="1">
        <v>2</v>
      </c>
      <c r="H149" s="1">
        <v>34.15</v>
      </c>
    </row>
    <row r="150" spans="1:8" x14ac:dyDescent="0.3">
      <c r="A150" s="1">
        <v>146</v>
      </c>
      <c r="B150" s="1" t="s">
        <v>8</v>
      </c>
      <c r="C150" s="1" t="s">
        <v>9</v>
      </c>
      <c r="D150" s="1" t="s">
        <v>10</v>
      </c>
      <c r="E150" s="1" t="s">
        <v>18</v>
      </c>
      <c r="F150" s="1" t="s">
        <v>17</v>
      </c>
      <c r="G150" s="1">
        <v>20</v>
      </c>
      <c r="H150" s="1">
        <v>244.39</v>
      </c>
    </row>
    <row r="151" spans="1:8" x14ac:dyDescent="0.3">
      <c r="A151" s="1">
        <v>147</v>
      </c>
      <c r="B151" s="1" t="s">
        <v>8</v>
      </c>
      <c r="C151" s="1" t="s">
        <v>9</v>
      </c>
      <c r="D151" s="1" t="s">
        <v>15</v>
      </c>
      <c r="E151" s="1" t="s">
        <v>16</v>
      </c>
      <c r="F151" s="1" t="s">
        <v>24</v>
      </c>
      <c r="G151" s="1">
        <v>12</v>
      </c>
      <c r="H151" s="1">
        <v>64.33</v>
      </c>
    </row>
    <row r="152" spans="1:8" x14ac:dyDescent="0.3">
      <c r="A152" s="1">
        <v>148</v>
      </c>
      <c r="B152" s="1" t="s">
        <v>8</v>
      </c>
      <c r="C152" s="1" t="s">
        <v>20</v>
      </c>
      <c r="D152" s="1" t="s">
        <v>10</v>
      </c>
      <c r="E152" s="1" t="s">
        <v>16</v>
      </c>
      <c r="F152" s="1" t="s">
        <v>22</v>
      </c>
      <c r="G152" s="1">
        <v>9</v>
      </c>
      <c r="H152" s="1">
        <v>21.86</v>
      </c>
    </row>
    <row r="153" spans="1:8" x14ac:dyDescent="0.3">
      <c r="A153" s="1">
        <v>149</v>
      </c>
      <c r="B153" s="1" t="s">
        <v>8</v>
      </c>
      <c r="C153" s="1" t="s">
        <v>9</v>
      </c>
      <c r="D153" s="1" t="s">
        <v>10</v>
      </c>
      <c r="E153" s="1" t="s">
        <v>11</v>
      </c>
      <c r="F153" s="1" t="s">
        <v>12</v>
      </c>
      <c r="G153" s="1">
        <v>19</v>
      </c>
      <c r="H153" s="1">
        <v>265.70999999999998</v>
      </c>
    </row>
    <row r="154" spans="1:8" x14ac:dyDescent="0.3">
      <c r="A154" s="1">
        <v>150</v>
      </c>
      <c r="B154" s="1" t="s">
        <v>8</v>
      </c>
      <c r="C154" s="1" t="s">
        <v>9</v>
      </c>
      <c r="D154" s="1" t="s">
        <v>15</v>
      </c>
      <c r="E154" s="1" t="s">
        <v>16</v>
      </c>
      <c r="F154" s="1" t="s">
        <v>24</v>
      </c>
      <c r="G154" s="1">
        <v>14</v>
      </c>
      <c r="H154" s="1">
        <v>87.33</v>
      </c>
    </row>
    <row r="155" spans="1:8" x14ac:dyDescent="0.3">
      <c r="A155" s="1">
        <v>151</v>
      </c>
      <c r="B155" s="1" t="s">
        <v>8</v>
      </c>
      <c r="C155" s="1" t="s">
        <v>20</v>
      </c>
      <c r="D155" s="1" t="s">
        <v>15</v>
      </c>
      <c r="E155" s="1" t="s">
        <v>11</v>
      </c>
      <c r="F155" s="1" t="s">
        <v>22</v>
      </c>
      <c r="G155" s="1">
        <v>14</v>
      </c>
      <c r="H155" s="1">
        <v>300.5</v>
      </c>
    </row>
    <row r="156" spans="1:8" x14ac:dyDescent="0.3">
      <c r="A156" s="1">
        <v>152</v>
      </c>
      <c r="B156" s="1" t="s">
        <v>8</v>
      </c>
      <c r="C156" s="1" t="s">
        <v>20</v>
      </c>
      <c r="D156" s="1" t="s">
        <v>15</v>
      </c>
      <c r="E156" s="1" t="s">
        <v>23</v>
      </c>
      <c r="F156" s="1" t="s">
        <v>22</v>
      </c>
      <c r="G156" s="1">
        <v>10</v>
      </c>
      <c r="H156" s="1">
        <v>212.82</v>
      </c>
    </row>
    <row r="157" spans="1:8" x14ac:dyDescent="0.3">
      <c r="A157" s="1">
        <v>153</v>
      </c>
      <c r="B157" s="1" t="s">
        <v>8</v>
      </c>
      <c r="C157" s="1" t="s">
        <v>20</v>
      </c>
      <c r="D157" s="1" t="s">
        <v>15</v>
      </c>
      <c r="E157" s="1" t="s">
        <v>16</v>
      </c>
      <c r="F157" s="1" t="s">
        <v>12</v>
      </c>
      <c r="G157" s="1">
        <v>19</v>
      </c>
      <c r="H157" s="1">
        <v>113.03</v>
      </c>
    </row>
    <row r="158" spans="1:8" x14ac:dyDescent="0.3">
      <c r="A158" s="1">
        <v>154</v>
      </c>
      <c r="B158" s="1" t="s">
        <v>13</v>
      </c>
      <c r="C158" s="1" t="s">
        <v>14</v>
      </c>
      <c r="D158" s="1" t="s">
        <v>15</v>
      </c>
      <c r="E158" s="1" t="s">
        <v>21</v>
      </c>
      <c r="F158" s="1" t="s">
        <v>17</v>
      </c>
      <c r="G158" s="1">
        <v>1</v>
      </c>
      <c r="H158" s="1">
        <v>18.41</v>
      </c>
    </row>
    <row r="159" spans="1:8" x14ac:dyDescent="0.3">
      <c r="A159" s="1">
        <v>155</v>
      </c>
      <c r="B159" s="1" t="s">
        <v>8</v>
      </c>
      <c r="C159" s="1" t="s">
        <v>20</v>
      </c>
      <c r="D159" s="1" t="s">
        <v>10</v>
      </c>
      <c r="E159" s="1" t="s">
        <v>18</v>
      </c>
      <c r="F159" s="1" t="s">
        <v>17</v>
      </c>
      <c r="G159" s="1">
        <v>11</v>
      </c>
      <c r="H159" s="1">
        <v>133.94</v>
      </c>
    </row>
    <row r="160" spans="1:8" x14ac:dyDescent="0.3">
      <c r="A160" s="1">
        <v>156</v>
      </c>
      <c r="B160" s="1" t="s">
        <v>8</v>
      </c>
      <c r="C160" s="1" t="s">
        <v>20</v>
      </c>
      <c r="D160" s="1" t="s">
        <v>10</v>
      </c>
      <c r="E160" s="1" t="s">
        <v>23</v>
      </c>
      <c r="F160" s="1" t="s">
        <v>17</v>
      </c>
      <c r="G160" s="1">
        <v>20</v>
      </c>
      <c r="H160" s="1">
        <v>114.06</v>
      </c>
    </row>
    <row r="161" spans="1:8" x14ac:dyDescent="0.3">
      <c r="A161" s="1">
        <v>157</v>
      </c>
      <c r="B161" s="1" t="s">
        <v>8</v>
      </c>
      <c r="C161" s="1" t="s">
        <v>9</v>
      </c>
      <c r="D161" s="1" t="s">
        <v>15</v>
      </c>
      <c r="E161" s="1" t="s">
        <v>11</v>
      </c>
      <c r="F161" s="1" t="s">
        <v>24</v>
      </c>
      <c r="G161" s="1">
        <v>20</v>
      </c>
      <c r="H161" s="1">
        <v>402.11</v>
      </c>
    </row>
    <row r="162" spans="1:8" x14ac:dyDescent="0.3">
      <c r="A162" s="1">
        <v>158</v>
      </c>
      <c r="B162" s="1" t="s">
        <v>8</v>
      </c>
      <c r="C162" s="1" t="s">
        <v>9</v>
      </c>
      <c r="D162" s="1" t="s">
        <v>15</v>
      </c>
      <c r="E162" s="1" t="s">
        <v>11</v>
      </c>
      <c r="F162" s="1" t="s">
        <v>19</v>
      </c>
      <c r="G162" s="1">
        <v>1</v>
      </c>
      <c r="H162" s="1">
        <v>20.37</v>
      </c>
    </row>
    <row r="163" spans="1:8" x14ac:dyDescent="0.3">
      <c r="A163" s="1">
        <v>159</v>
      </c>
      <c r="B163" s="1" t="s">
        <v>8</v>
      </c>
      <c r="C163" s="1" t="s">
        <v>9</v>
      </c>
      <c r="D163" s="1" t="s">
        <v>15</v>
      </c>
      <c r="E163" s="1" t="s">
        <v>16</v>
      </c>
      <c r="F163" s="1" t="s">
        <v>22</v>
      </c>
      <c r="G163" s="1">
        <v>11</v>
      </c>
      <c r="H163" s="1">
        <v>233.28</v>
      </c>
    </row>
    <row r="164" spans="1:8" x14ac:dyDescent="0.3">
      <c r="A164" s="1">
        <v>160</v>
      </c>
      <c r="B164" s="1" t="s">
        <v>8</v>
      </c>
      <c r="C164" s="1" t="s">
        <v>20</v>
      </c>
      <c r="D164" s="1" t="s">
        <v>10</v>
      </c>
      <c r="E164" s="1" t="s">
        <v>23</v>
      </c>
      <c r="F164" s="1" t="s">
        <v>22</v>
      </c>
      <c r="G164" s="1">
        <v>2</v>
      </c>
      <c r="H164" s="1">
        <v>19.920000000000002</v>
      </c>
    </row>
    <row r="165" spans="1:8" x14ac:dyDescent="0.3">
      <c r="A165" s="1">
        <v>161</v>
      </c>
      <c r="B165" s="1" t="s">
        <v>8</v>
      </c>
      <c r="C165" s="1" t="s">
        <v>20</v>
      </c>
      <c r="D165" s="1" t="s">
        <v>10</v>
      </c>
      <c r="E165" s="1" t="s">
        <v>23</v>
      </c>
      <c r="F165" s="1" t="s">
        <v>17</v>
      </c>
      <c r="G165" s="1">
        <v>19</v>
      </c>
      <c r="H165" s="1">
        <v>425.1</v>
      </c>
    </row>
    <row r="166" spans="1:8" x14ac:dyDescent="0.3">
      <c r="A166" s="1">
        <v>162</v>
      </c>
      <c r="B166" s="1" t="s">
        <v>8</v>
      </c>
      <c r="C166" s="1" t="s">
        <v>9</v>
      </c>
      <c r="D166" s="1" t="s">
        <v>10</v>
      </c>
      <c r="E166" s="1" t="s">
        <v>11</v>
      </c>
      <c r="F166" s="1" t="s">
        <v>19</v>
      </c>
      <c r="G166" s="1">
        <v>4</v>
      </c>
      <c r="H166" s="1">
        <v>64.459999999999994</v>
      </c>
    </row>
    <row r="167" spans="1:8" x14ac:dyDescent="0.3">
      <c r="A167" s="1">
        <v>163</v>
      </c>
      <c r="B167" s="1" t="s">
        <v>13</v>
      </c>
      <c r="C167" s="1" t="s">
        <v>14</v>
      </c>
      <c r="D167" s="1" t="s">
        <v>15</v>
      </c>
      <c r="E167" s="1" t="s">
        <v>23</v>
      </c>
      <c r="F167" s="1" t="s">
        <v>19</v>
      </c>
      <c r="G167" s="1">
        <v>11</v>
      </c>
      <c r="H167" s="1">
        <v>207.27</v>
      </c>
    </row>
    <row r="168" spans="1:8" x14ac:dyDescent="0.3">
      <c r="A168" s="1">
        <v>164</v>
      </c>
      <c r="B168" s="1" t="s">
        <v>13</v>
      </c>
      <c r="C168" s="1" t="s">
        <v>14</v>
      </c>
      <c r="D168" s="1" t="s">
        <v>15</v>
      </c>
      <c r="E168" s="1" t="s">
        <v>16</v>
      </c>
      <c r="F168" s="1" t="s">
        <v>12</v>
      </c>
      <c r="G168" s="1">
        <v>8</v>
      </c>
      <c r="H168" s="1">
        <v>177.71</v>
      </c>
    </row>
    <row r="169" spans="1:8" x14ac:dyDescent="0.3">
      <c r="A169" s="1">
        <v>165</v>
      </c>
      <c r="B169" s="1" t="s">
        <v>8</v>
      </c>
      <c r="C169" s="1" t="s">
        <v>20</v>
      </c>
      <c r="D169" s="1" t="s">
        <v>10</v>
      </c>
      <c r="E169" s="1" t="s">
        <v>21</v>
      </c>
      <c r="F169" s="1" t="s">
        <v>17</v>
      </c>
      <c r="G169" s="1">
        <v>18</v>
      </c>
      <c r="H169" s="1">
        <v>229.58</v>
      </c>
    </row>
    <row r="170" spans="1:8" x14ac:dyDescent="0.3">
      <c r="A170" s="1">
        <v>166</v>
      </c>
      <c r="B170" s="1" t="s">
        <v>13</v>
      </c>
      <c r="C170" s="1" t="s">
        <v>14</v>
      </c>
      <c r="D170" s="1" t="s">
        <v>15</v>
      </c>
      <c r="E170" s="1" t="s">
        <v>21</v>
      </c>
      <c r="F170" s="1" t="s">
        <v>12</v>
      </c>
      <c r="G170" s="1">
        <v>18</v>
      </c>
      <c r="H170" s="1">
        <v>272.91000000000003</v>
      </c>
    </row>
    <row r="171" spans="1:8" x14ac:dyDescent="0.3">
      <c r="A171" s="1">
        <v>167</v>
      </c>
      <c r="B171" s="1" t="s">
        <v>13</v>
      </c>
      <c r="C171" s="1" t="s">
        <v>14</v>
      </c>
      <c r="D171" s="1" t="s">
        <v>15</v>
      </c>
      <c r="E171" s="1" t="s">
        <v>18</v>
      </c>
      <c r="F171" s="1" t="s">
        <v>17</v>
      </c>
      <c r="G171" s="1">
        <v>10</v>
      </c>
      <c r="H171" s="1">
        <v>70.19</v>
      </c>
    </row>
    <row r="172" spans="1:8" x14ac:dyDescent="0.3">
      <c r="A172" s="1">
        <v>168</v>
      </c>
      <c r="B172" s="1" t="s">
        <v>8</v>
      </c>
      <c r="C172" s="1" t="s">
        <v>20</v>
      </c>
      <c r="D172" s="1" t="s">
        <v>10</v>
      </c>
      <c r="E172" s="1" t="s">
        <v>21</v>
      </c>
      <c r="F172" s="1" t="s">
        <v>24</v>
      </c>
      <c r="G172" s="1">
        <v>12</v>
      </c>
      <c r="H172" s="1">
        <v>123.65</v>
      </c>
    </row>
    <row r="173" spans="1:8" x14ac:dyDescent="0.3">
      <c r="A173" s="1">
        <v>169</v>
      </c>
      <c r="B173" s="1" t="s">
        <v>8</v>
      </c>
      <c r="C173" s="1" t="s">
        <v>9</v>
      </c>
      <c r="D173" s="1" t="s">
        <v>10</v>
      </c>
      <c r="E173" s="1" t="s">
        <v>23</v>
      </c>
      <c r="F173" s="1" t="s">
        <v>22</v>
      </c>
      <c r="G173" s="1">
        <v>4</v>
      </c>
      <c r="H173" s="1">
        <v>77</v>
      </c>
    </row>
    <row r="174" spans="1:8" x14ac:dyDescent="0.3">
      <c r="A174" s="1">
        <v>170</v>
      </c>
      <c r="B174" s="1" t="s">
        <v>13</v>
      </c>
      <c r="C174" s="1" t="s">
        <v>14</v>
      </c>
      <c r="D174" s="1" t="s">
        <v>15</v>
      </c>
      <c r="E174" s="1" t="s">
        <v>21</v>
      </c>
      <c r="F174" s="1" t="s">
        <v>19</v>
      </c>
      <c r="G174" s="1">
        <v>12</v>
      </c>
      <c r="H174" s="1">
        <v>68.819999999999993</v>
      </c>
    </row>
    <row r="175" spans="1:8" x14ac:dyDescent="0.3">
      <c r="A175" s="1">
        <v>171</v>
      </c>
      <c r="B175" s="1" t="s">
        <v>8</v>
      </c>
      <c r="C175" s="1" t="s">
        <v>9</v>
      </c>
      <c r="D175" s="1" t="s">
        <v>10</v>
      </c>
      <c r="E175" s="1" t="s">
        <v>23</v>
      </c>
      <c r="F175" s="1" t="s">
        <v>19</v>
      </c>
      <c r="G175" s="1">
        <v>5</v>
      </c>
      <c r="H175" s="1">
        <v>61.69</v>
      </c>
    </row>
    <row r="176" spans="1:8" x14ac:dyDescent="0.3">
      <c r="A176" s="1">
        <v>172</v>
      </c>
      <c r="B176" s="1" t="s">
        <v>13</v>
      </c>
      <c r="C176" s="1" t="s">
        <v>14</v>
      </c>
      <c r="D176" s="1" t="s">
        <v>15</v>
      </c>
      <c r="E176" s="1" t="s">
        <v>11</v>
      </c>
      <c r="F176" s="1" t="s">
        <v>19</v>
      </c>
      <c r="G176" s="1">
        <v>15</v>
      </c>
      <c r="H176" s="1">
        <v>237.86</v>
      </c>
    </row>
    <row r="177" spans="1:8" x14ac:dyDescent="0.3">
      <c r="A177" s="1">
        <v>173</v>
      </c>
      <c r="B177" s="1" t="s">
        <v>8</v>
      </c>
      <c r="C177" s="1" t="s">
        <v>9</v>
      </c>
      <c r="D177" s="1" t="s">
        <v>10</v>
      </c>
      <c r="E177" s="1" t="s">
        <v>18</v>
      </c>
      <c r="F177" s="1" t="s">
        <v>19</v>
      </c>
      <c r="G177" s="1">
        <v>20</v>
      </c>
      <c r="H177" s="1">
        <v>317.36</v>
      </c>
    </row>
    <row r="178" spans="1:8" x14ac:dyDescent="0.3">
      <c r="A178" s="1">
        <v>174</v>
      </c>
      <c r="B178" s="1" t="s">
        <v>13</v>
      </c>
      <c r="C178" s="1" t="s">
        <v>14</v>
      </c>
      <c r="D178" s="1" t="s">
        <v>10</v>
      </c>
      <c r="E178" s="1" t="s">
        <v>11</v>
      </c>
      <c r="F178" s="1" t="s">
        <v>17</v>
      </c>
      <c r="G178" s="1">
        <v>3</v>
      </c>
      <c r="H178" s="1">
        <v>16.34</v>
      </c>
    </row>
    <row r="179" spans="1:8" x14ac:dyDescent="0.3">
      <c r="A179" s="1">
        <v>175</v>
      </c>
      <c r="B179" s="1" t="s">
        <v>8</v>
      </c>
      <c r="C179" s="1" t="s">
        <v>9</v>
      </c>
      <c r="D179" s="1" t="s">
        <v>15</v>
      </c>
      <c r="E179" s="1" t="s">
        <v>21</v>
      </c>
      <c r="F179" s="1" t="s">
        <v>22</v>
      </c>
      <c r="G179" s="1">
        <v>15</v>
      </c>
      <c r="H179" s="1">
        <v>277.99</v>
      </c>
    </row>
    <row r="180" spans="1:8" x14ac:dyDescent="0.3">
      <c r="A180" s="1">
        <v>176</v>
      </c>
      <c r="B180" s="1" t="s">
        <v>13</v>
      </c>
      <c r="C180" s="1" t="s">
        <v>14</v>
      </c>
      <c r="D180" s="1" t="s">
        <v>10</v>
      </c>
      <c r="E180" s="1" t="s">
        <v>11</v>
      </c>
      <c r="F180" s="1" t="s">
        <v>19</v>
      </c>
      <c r="G180" s="1">
        <v>1</v>
      </c>
      <c r="H180" s="1">
        <v>15.31</v>
      </c>
    </row>
    <row r="181" spans="1:8" x14ac:dyDescent="0.3">
      <c r="A181" s="1">
        <v>177</v>
      </c>
      <c r="B181" s="1" t="s">
        <v>13</v>
      </c>
      <c r="C181" s="1" t="s">
        <v>14</v>
      </c>
      <c r="D181" s="1" t="s">
        <v>10</v>
      </c>
      <c r="E181" s="1" t="s">
        <v>23</v>
      </c>
      <c r="F181" s="1" t="s">
        <v>19</v>
      </c>
      <c r="G181" s="1">
        <v>10</v>
      </c>
      <c r="H181" s="1">
        <v>12.95</v>
      </c>
    </row>
    <row r="182" spans="1:8" x14ac:dyDescent="0.3">
      <c r="A182" s="1">
        <v>178</v>
      </c>
      <c r="B182" s="1" t="s">
        <v>8</v>
      </c>
      <c r="C182" s="1" t="s">
        <v>20</v>
      </c>
      <c r="D182" s="1" t="s">
        <v>10</v>
      </c>
      <c r="E182" s="1" t="s">
        <v>16</v>
      </c>
      <c r="F182" s="1" t="s">
        <v>12</v>
      </c>
      <c r="G182" s="1">
        <v>10</v>
      </c>
      <c r="H182" s="1">
        <v>126.8</v>
      </c>
    </row>
    <row r="183" spans="1:8" x14ac:dyDescent="0.3">
      <c r="A183" s="1">
        <v>179</v>
      </c>
      <c r="B183" s="1" t="s">
        <v>8</v>
      </c>
      <c r="C183" s="1" t="s">
        <v>9</v>
      </c>
      <c r="D183" s="1" t="s">
        <v>10</v>
      </c>
      <c r="E183" s="1" t="s">
        <v>16</v>
      </c>
      <c r="F183" s="1" t="s">
        <v>19</v>
      </c>
      <c r="G183" s="1">
        <v>3</v>
      </c>
      <c r="H183" s="1">
        <v>14.77</v>
      </c>
    </row>
    <row r="184" spans="1:8" x14ac:dyDescent="0.3">
      <c r="A184" s="1">
        <v>180</v>
      </c>
      <c r="B184" s="1" t="s">
        <v>13</v>
      </c>
      <c r="C184" s="1" t="s">
        <v>14</v>
      </c>
      <c r="D184" s="1" t="s">
        <v>10</v>
      </c>
      <c r="E184" s="1" t="s">
        <v>23</v>
      </c>
      <c r="F184" s="1" t="s">
        <v>22</v>
      </c>
      <c r="G184" s="1">
        <v>4</v>
      </c>
      <c r="H184" s="1">
        <v>29.02</v>
      </c>
    </row>
    <row r="185" spans="1:8" x14ac:dyDescent="0.3">
      <c r="A185" s="1">
        <v>181</v>
      </c>
      <c r="B185" s="1" t="s">
        <v>13</v>
      </c>
      <c r="C185" s="1" t="s">
        <v>14</v>
      </c>
      <c r="D185" s="1" t="s">
        <v>10</v>
      </c>
      <c r="E185" s="1" t="s">
        <v>16</v>
      </c>
      <c r="F185" s="1" t="s">
        <v>19</v>
      </c>
      <c r="G185" s="1">
        <v>17</v>
      </c>
      <c r="H185" s="1">
        <v>275.20999999999998</v>
      </c>
    </row>
    <row r="186" spans="1:8" x14ac:dyDescent="0.3">
      <c r="A186" s="1">
        <v>182</v>
      </c>
      <c r="B186" s="1" t="s">
        <v>8</v>
      </c>
      <c r="C186" s="1" t="s">
        <v>9</v>
      </c>
      <c r="D186" s="1" t="s">
        <v>15</v>
      </c>
      <c r="E186" s="1" t="s">
        <v>21</v>
      </c>
      <c r="F186" s="1" t="s">
        <v>17</v>
      </c>
      <c r="G186" s="1">
        <v>8</v>
      </c>
      <c r="H186" s="1">
        <v>26.88</v>
      </c>
    </row>
    <row r="187" spans="1:8" x14ac:dyDescent="0.3">
      <c r="A187" s="1">
        <v>183</v>
      </c>
      <c r="B187" s="1" t="s">
        <v>8</v>
      </c>
      <c r="C187" s="1" t="s">
        <v>20</v>
      </c>
      <c r="D187" s="1" t="s">
        <v>15</v>
      </c>
      <c r="E187" s="1" t="s">
        <v>16</v>
      </c>
      <c r="F187" s="1" t="s">
        <v>17</v>
      </c>
      <c r="G187" s="1">
        <v>15</v>
      </c>
      <c r="H187" s="1">
        <v>70.14</v>
      </c>
    </row>
    <row r="188" spans="1:8" x14ac:dyDescent="0.3">
      <c r="A188" s="1">
        <v>184</v>
      </c>
      <c r="B188" s="1" t="s">
        <v>8</v>
      </c>
      <c r="C188" s="1" t="s">
        <v>9</v>
      </c>
      <c r="D188" s="1" t="s">
        <v>10</v>
      </c>
      <c r="E188" s="1" t="s">
        <v>11</v>
      </c>
      <c r="F188" s="1" t="s">
        <v>19</v>
      </c>
      <c r="G188" s="1">
        <v>14</v>
      </c>
      <c r="H188" s="1">
        <v>280.13</v>
      </c>
    </row>
    <row r="189" spans="1:8" x14ac:dyDescent="0.3">
      <c r="A189" s="1">
        <v>185</v>
      </c>
      <c r="B189" s="1" t="s">
        <v>8</v>
      </c>
      <c r="C189" s="1" t="s">
        <v>20</v>
      </c>
      <c r="D189" s="1" t="s">
        <v>10</v>
      </c>
      <c r="E189" s="1" t="s">
        <v>16</v>
      </c>
      <c r="F189" s="1" t="s">
        <v>24</v>
      </c>
      <c r="G189" s="1">
        <v>16</v>
      </c>
      <c r="H189" s="1">
        <v>327.33</v>
      </c>
    </row>
    <row r="190" spans="1:8" x14ac:dyDescent="0.3">
      <c r="A190" s="1">
        <v>186</v>
      </c>
      <c r="B190" s="1" t="s">
        <v>13</v>
      </c>
      <c r="C190" s="1" t="s">
        <v>14</v>
      </c>
      <c r="D190" s="1" t="s">
        <v>10</v>
      </c>
      <c r="E190" s="1" t="s">
        <v>16</v>
      </c>
      <c r="F190" s="1" t="s">
        <v>24</v>
      </c>
      <c r="G190" s="1">
        <v>3</v>
      </c>
      <c r="H190" s="1">
        <v>38.49</v>
      </c>
    </row>
    <row r="191" spans="1:8" x14ac:dyDescent="0.3">
      <c r="A191" s="1">
        <v>187</v>
      </c>
      <c r="B191" s="1" t="s">
        <v>8</v>
      </c>
      <c r="C191" s="1" t="s">
        <v>9</v>
      </c>
      <c r="D191" s="1" t="s">
        <v>10</v>
      </c>
      <c r="E191" s="1" t="s">
        <v>16</v>
      </c>
      <c r="F191" s="1" t="s">
        <v>19</v>
      </c>
      <c r="G191" s="1">
        <v>15</v>
      </c>
      <c r="H191" s="1">
        <v>156.01</v>
      </c>
    </row>
    <row r="192" spans="1:8" x14ac:dyDescent="0.3">
      <c r="A192" s="1">
        <v>188</v>
      </c>
      <c r="B192" s="1" t="s">
        <v>8</v>
      </c>
      <c r="C192" s="1" t="s">
        <v>20</v>
      </c>
      <c r="D192" s="1" t="s">
        <v>15</v>
      </c>
      <c r="E192" s="1" t="s">
        <v>16</v>
      </c>
      <c r="F192" s="1" t="s">
        <v>22</v>
      </c>
      <c r="G192" s="1">
        <v>5</v>
      </c>
      <c r="H192" s="1">
        <v>30.6</v>
      </c>
    </row>
    <row r="193" spans="1:8" x14ac:dyDescent="0.3">
      <c r="A193" s="1">
        <v>189</v>
      </c>
      <c r="B193" s="1" t="s">
        <v>8</v>
      </c>
      <c r="C193" s="1" t="s">
        <v>20</v>
      </c>
      <c r="D193" s="1" t="s">
        <v>10</v>
      </c>
      <c r="E193" s="1" t="s">
        <v>11</v>
      </c>
      <c r="F193" s="1" t="s">
        <v>22</v>
      </c>
      <c r="G193" s="1">
        <v>3</v>
      </c>
      <c r="H193" s="1">
        <v>47.73</v>
      </c>
    </row>
    <row r="194" spans="1:8" x14ac:dyDescent="0.3">
      <c r="A194" s="1">
        <v>190</v>
      </c>
      <c r="B194" s="1" t="s">
        <v>13</v>
      </c>
      <c r="C194" s="1" t="s">
        <v>14</v>
      </c>
      <c r="D194" s="1" t="s">
        <v>10</v>
      </c>
      <c r="E194" s="1" t="s">
        <v>11</v>
      </c>
      <c r="F194" s="1" t="s">
        <v>19</v>
      </c>
      <c r="G194" s="1">
        <v>11</v>
      </c>
      <c r="H194" s="1">
        <v>113.7</v>
      </c>
    </row>
    <row r="195" spans="1:8" x14ac:dyDescent="0.3">
      <c r="A195" s="1">
        <v>191</v>
      </c>
      <c r="B195" s="1" t="s">
        <v>8</v>
      </c>
      <c r="C195" s="1" t="s">
        <v>9</v>
      </c>
      <c r="D195" s="1" t="s">
        <v>10</v>
      </c>
      <c r="E195" s="1" t="s">
        <v>23</v>
      </c>
      <c r="F195" s="1" t="s">
        <v>17</v>
      </c>
      <c r="G195" s="1">
        <v>13</v>
      </c>
      <c r="H195" s="1">
        <v>49.66</v>
      </c>
    </row>
    <row r="196" spans="1:8" x14ac:dyDescent="0.3">
      <c r="A196" s="1">
        <v>192</v>
      </c>
      <c r="B196" s="1" t="s">
        <v>8</v>
      </c>
      <c r="C196" s="1" t="s">
        <v>9</v>
      </c>
      <c r="D196" s="1" t="s">
        <v>10</v>
      </c>
      <c r="E196" s="1" t="s">
        <v>21</v>
      </c>
      <c r="F196" s="1" t="s">
        <v>17</v>
      </c>
      <c r="G196" s="1">
        <v>10</v>
      </c>
      <c r="H196" s="1">
        <v>58.85</v>
      </c>
    </row>
    <row r="197" spans="1:8" x14ac:dyDescent="0.3">
      <c r="A197" s="1">
        <v>193</v>
      </c>
      <c r="B197" s="1" t="s">
        <v>13</v>
      </c>
      <c r="C197" s="1" t="s">
        <v>14</v>
      </c>
      <c r="D197" s="1" t="s">
        <v>15</v>
      </c>
      <c r="E197" s="1" t="s">
        <v>18</v>
      </c>
      <c r="F197" s="1" t="s">
        <v>22</v>
      </c>
      <c r="G197" s="1">
        <v>3</v>
      </c>
      <c r="H197" s="1">
        <v>7.86</v>
      </c>
    </row>
    <row r="198" spans="1:8" x14ac:dyDescent="0.3">
      <c r="A198" s="1">
        <v>194</v>
      </c>
      <c r="B198" s="1" t="s">
        <v>8</v>
      </c>
      <c r="C198" s="1" t="s">
        <v>20</v>
      </c>
      <c r="D198" s="1" t="s">
        <v>10</v>
      </c>
      <c r="E198" s="1" t="s">
        <v>11</v>
      </c>
      <c r="F198" s="1" t="s">
        <v>24</v>
      </c>
      <c r="G198" s="1">
        <v>4</v>
      </c>
      <c r="H198" s="1">
        <v>40.96</v>
      </c>
    </row>
    <row r="199" spans="1:8" x14ac:dyDescent="0.3">
      <c r="A199" s="1">
        <v>195</v>
      </c>
      <c r="B199" s="1" t="s">
        <v>13</v>
      </c>
      <c r="C199" s="1" t="s">
        <v>14</v>
      </c>
      <c r="D199" s="1" t="s">
        <v>10</v>
      </c>
      <c r="E199" s="1" t="s">
        <v>16</v>
      </c>
      <c r="F199" s="1" t="s">
        <v>22</v>
      </c>
      <c r="G199" s="1">
        <v>4</v>
      </c>
      <c r="H199" s="1">
        <v>11.17</v>
      </c>
    </row>
    <row r="200" spans="1:8" x14ac:dyDescent="0.3">
      <c r="A200" s="1">
        <v>196</v>
      </c>
      <c r="B200" s="1" t="s">
        <v>8</v>
      </c>
      <c r="C200" s="1" t="s">
        <v>9</v>
      </c>
      <c r="D200" s="1" t="s">
        <v>15</v>
      </c>
      <c r="E200" s="1" t="s">
        <v>18</v>
      </c>
      <c r="F200" s="1" t="s">
        <v>19</v>
      </c>
      <c r="G200" s="1">
        <v>6</v>
      </c>
      <c r="H200" s="1">
        <v>57.65</v>
      </c>
    </row>
    <row r="201" spans="1:8" x14ac:dyDescent="0.3">
      <c r="A201" s="1">
        <v>197</v>
      </c>
      <c r="B201" s="1" t="s">
        <v>8</v>
      </c>
      <c r="C201" s="1" t="s">
        <v>9</v>
      </c>
      <c r="D201" s="1" t="s">
        <v>10</v>
      </c>
      <c r="E201" s="1" t="s">
        <v>16</v>
      </c>
      <c r="F201" s="1" t="s">
        <v>17</v>
      </c>
      <c r="G201" s="1">
        <v>15</v>
      </c>
      <c r="H201" s="1">
        <v>312.81</v>
      </c>
    </row>
    <row r="202" spans="1:8" x14ac:dyDescent="0.3">
      <c r="A202" s="1">
        <v>198</v>
      </c>
      <c r="B202" s="1" t="s">
        <v>8</v>
      </c>
      <c r="C202" s="1" t="s">
        <v>20</v>
      </c>
      <c r="D202" s="1" t="s">
        <v>10</v>
      </c>
      <c r="E202" s="1" t="s">
        <v>23</v>
      </c>
      <c r="F202" s="1" t="s">
        <v>12</v>
      </c>
      <c r="G202" s="1">
        <v>18</v>
      </c>
      <c r="H202" s="1">
        <v>130.97</v>
      </c>
    </row>
    <row r="203" spans="1:8" x14ac:dyDescent="0.3">
      <c r="A203" s="1">
        <v>199</v>
      </c>
      <c r="B203" s="1" t="s">
        <v>13</v>
      </c>
      <c r="C203" s="1" t="s">
        <v>14</v>
      </c>
      <c r="D203" s="1" t="s">
        <v>10</v>
      </c>
      <c r="E203" s="1" t="s">
        <v>16</v>
      </c>
      <c r="F203" s="1" t="s">
        <v>19</v>
      </c>
      <c r="G203" s="1">
        <v>16</v>
      </c>
      <c r="H203" s="1">
        <v>168.46</v>
      </c>
    </row>
    <row r="204" spans="1:8" x14ac:dyDescent="0.3">
      <c r="A204" s="1">
        <v>200</v>
      </c>
      <c r="B204" s="1" t="s">
        <v>8</v>
      </c>
      <c r="C204" s="1" t="s">
        <v>20</v>
      </c>
      <c r="D204" s="1" t="s">
        <v>15</v>
      </c>
      <c r="E204" s="1" t="s">
        <v>18</v>
      </c>
      <c r="F204" s="1" t="s">
        <v>19</v>
      </c>
      <c r="G204" s="1">
        <v>6</v>
      </c>
      <c r="H204" s="1">
        <v>73.12</v>
      </c>
    </row>
    <row r="205" spans="1:8" x14ac:dyDescent="0.3">
      <c r="A205" s="1">
        <v>201</v>
      </c>
      <c r="B205" s="1" t="s">
        <v>8</v>
      </c>
      <c r="C205" s="1" t="s">
        <v>9</v>
      </c>
      <c r="D205" s="1" t="s">
        <v>15</v>
      </c>
      <c r="E205" s="1" t="s">
        <v>21</v>
      </c>
      <c r="F205" s="1" t="s">
        <v>12</v>
      </c>
      <c r="G205" s="1">
        <v>13</v>
      </c>
      <c r="H205" s="1">
        <v>115.45</v>
      </c>
    </row>
    <row r="206" spans="1:8" x14ac:dyDescent="0.3">
      <c r="A206" s="1">
        <v>202</v>
      </c>
      <c r="B206" s="1" t="s">
        <v>8</v>
      </c>
      <c r="C206" s="1" t="s">
        <v>9</v>
      </c>
      <c r="D206" s="1" t="s">
        <v>10</v>
      </c>
      <c r="E206" s="1" t="s">
        <v>21</v>
      </c>
      <c r="F206" s="1" t="s">
        <v>22</v>
      </c>
      <c r="G206" s="1">
        <v>8</v>
      </c>
      <c r="H206" s="1">
        <v>93.3</v>
      </c>
    </row>
    <row r="207" spans="1:8" x14ac:dyDescent="0.3">
      <c r="A207" s="1">
        <v>203</v>
      </c>
      <c r="B207" s="1" t="s">
        <v>13</v>
      </c>
      <c r="C207" s="1" t="s">
        <v>14</v>
      </c>
      <c r="D207" s="1" t="s">
        <v>10</v>
      </c>
      <c r="E207" s="1" t="s">
        <v>11</v>
      </c>
      <c r="F207" s="1" t="s">
        <v>19</v>
      </c>
      <c r="G207" s="1">
        <v>20</v>
      </c>
      <c r="H207" s="1">
        <v>64.2</v>
      </c>
    </row>
    <row r="208" spans="1:8" x14ac:dyDescent="0.3">
      <c r="A208" s="1">
        <v>204</v>
      </c>
      <c r="B208" s="1" t="s">
        <v>8</v>
      </c>
      <c r="C208" s="1" t="s">
        <v>20</v>
      </c>
      <c r="D208" s="1" t="s">
        <v>10</v>
      </c>
      <c r="E208" s="1" t="s">
        <v>21</v>
      </c>
      <c r="F208" s="1" t="s">
        <v>22</v>
      </c>
      <c r="G208" s="1">
        <v>10</v>
      </c>
      <c r="H208" s="1">
        <v>176.55</v>
      </c>
    </row>
    <row r="209" spans="1:8" x14ac:dyDescent="0.3">
      <c r="A209" s="1">
        <v>205</v>
      </c>
      <c r="B209" s="1" t="s">
        <v>8</v>
      </c>
      <c r="C209" s="1" t="s">
        <v>9</v>
      </c>
      <c r="D209" s="1" t="s">
        <v>15</v>
      </c>
      <c r="E209" s="1" t="s">
        <v>23</v>
      </c>
      <c r="F209" s="1" t="s">
        <v>12</v>
      </c>
      <c r="G209" s="1">
        <v>5</v>
      </c>
      <c r="H209" s="1">
        <v>107.32</v>
      </c>
    </row>
    <row r="210" spans="1:8" x14ac:dyDescent="0.3">
      <c r="A210" s="1">
        <v>206</v>
      </c>
      <c r="B210" s="1" t="s">
        <v>8</v>
      </c>
      <c r="C210" s="1" t="s">
        <v>9</v>
      </c>
      <c r="D210" s="1" t="s">
        <v>15</v>
      </c>
      <c r="E210" s="1" t="s">
        <v>11</v>
      </c>
      <c r="F210" s="1" t="s">
        <v>22</v>
      </c>
      <c r="G210" s="1">
        <v>7</v>
      </c>
      <c r="H210" s="1">
        <v>80.37</v>
      </c>
    </row>
    <row r="211" spans="1:8" x14ac:dyDescent="0.3">
      <c r="A211" s="1">
        <v>207</v>
      </c>
      <c r="B211" s="1" t="s">
        <v>13</v>
      </c>
      <c r="C211" s="1" t="s">
        <v>14</v>
      </c>
      <c r="D211" s="1" t="s">
        <v>15</v>
      </c>
      <c r="E211" s="1" t="s">
        <v>21</v>
      </c>
      <c r="F211" s="1" t="s">
        <v>17</v>
      </c>
      <c r="G211" s="1">
        <v>18</v>
      </c>
      <c r="H211" s="1">
        <v>162.94</v>
      </c>
    </row>
    <row r="212" spans="1:8" x14ac:dyDescent="0.3">
      <c r="A212" s="1">
        <v>208</v>
      </c>
      <c r="B212" s="1" t="s">
        <v>8</v>
      </c>
      <c r="C212" s="1" t="s">
        <v>9</v>
      </c>
      <c r="D212" s="1" t="s">
        <v>10</v>
      </c>
      <c r="E212" s="1" t="s">
        <v>11</v>
      </c>
      <c r="F212" s="1" t="s">
        <v>19</v>
      </c>
      <c r="G212" s="1">
        <v>20</v>
      </c>
      <c r="H212" s="1">
        <v>144.66</v>
      </c>
    </row>
    <row r="213" spans="1:8" x14ac:dyDescent="0.3">
      <c r="A213" s="1">
        <v>209</v>
      </c>
      <c r="B213" s="1" t="s">
        <v>13</v>
      </c>
      <c r="C213" s="1" t="s">
        <v>14</v>
      </c>
      <c r="D213" s="1" t="s">
        <v>15</v>
      </c>
      <c r="E213" s="1" t="s">
        <v>23</v>
      </c>
      <c r="F213" s="1" t="s">
        <v>12</v>
      </c>
      <c r="G213" s="1">
        <v>7</v>
      </c>
      <c r="H213" s="1">
        <v>65.239999999999995</v>
      </c>
    </row>
    <row r="214" spans="1:8" x14ac:dyDescent="0.3">
      <c r="A214" s="1">
        <v>210</v>
      </c>
      <c r="B214" s="1" t="s">
        <v>13</v>
      </c>
      <c r="C214" s="1" t="s">
        <v>14</v>
      </c>
      <c r="D214" s="1" t="s">
        <v>10</v>
      </c>
      <c r="E214" s="1" t="s">
        <v>16</v>
      </c>
      <c r="F214" s="1" t="s">
        <v>24</v>
      </c>
      <c r="G214" s="1">
        <v>18</v>
      </c>
      <c r="H214" s="1">
        <v>133.09</v>
      </c>
    </row>
    <row r="215" spans="1:8" x14ac:dyDescent="0.3">
      <c r="A215" s="1">
        <v>211</v>
      </c>
      <c r="B215" s="1" t="s">
        <v>8</v>
      </c>
      <c r="C215" s="1" t="s">
        <v>20</v>
      </c>
      <c r="D215" s="1" t="s">
        <v>10</v>
      </c>
      <c r="E215" s="1" t="s">
        <v>16</v>
      </c>
      <c r="F215" s="1" t="s">
        <v>17</v>
      </c>
      <c r="G215" s="1">
        <v>15</v>
      </c>
      <c r="H215" s="1">
        <v>259.69</v>
      </c>
    </row>
    <row r="216" spans="1:8" x14ac:dyDescent="0.3">
      <c r="A216" s="1">
        <v>212</v>
      </c>
      <c r="B216" s="1" t="s">
        <v>8</v>
      </c>
      <c r="C216" s="1" t="s">
        <v>20</v>
      </c>
      <c r="D216" s="1" t="s">
        <v>10</v>
      </c>
      <c r="E216" s="1" t="s">
        <v>21</v>
      </c>
      <c r="F216" s="1" t="s">
        <v>17</v>
      </c>
      <c r="G216" s="1">
        <v>17</v>
      </c>
      <c r="H216" s="1">
        <v>227.38</v>
      </c>
    </row>
    <row r="217" spans="1:8" x14ac:dyDescent="0.3">
      <c r="A217" s="1">
        <v>213</v>
      </c>
      <c r="B217" s="1" t="s">
        <v>8</v>
      </c>
      <c r="C217" s="1" t="s">
        <v>9</v>
      </c>
      <c r="D217" s="1" t="s">
        <v>15</v>
      </c>
      <c r="E217" s="1" t="s">
        <v>23</v>
      </c>
      <c r="F217" s="1" t="s">
        <v>19</v>
      </c>
      <c r="G217" s="1">
        <v>16</v>
      </c>
      <c r="H217" s="1">
        <v>300.45999999999998</v>
      </c>
    </row>
    <row r="218" spans="1:8" x14ac:dyDescent="0.3">
      <c r="A218" s="1">
        <v>214</v>
      </c>
      <c r="B218" s="1" t="s">
        <v>8</v>
      </c>
      <c r="C218" s="1" t="s">
        <v>9</v>
      </c>
      <c r="D218" s="1" t="s">
        <v>15</v>
      </c>
      <c r="E218" s="1" t="s">
        <v>16</v>
      </c>
      <c r="F218" s="1" t="s">
        <v>22</v>
      </c>
      <c r="G218" s="1">
        <v>1</v>
      </c>
      <c r="H218" s="1">
        <v>18.82</v>
      </c>
    </row>
    <row r="219" spans="1:8" x14ac:dyDescent="0.3">
      <c r="A219" s="1">
        <v>215</v>
      </c>
      <c r="B219" s="1" t="s">
        <v>13</v>
      </c>
      <c r="C219" s="1" t="s">
        <v>14</v>
      </c>
      <c r="D219" s="1" t="s">
        <v>10</v>
      </c>
      <c r="E219" s="1" t="s">
        <v>16</v>
      </c>
      <c r="F219" s="1" t="s">
        <v>24</v>
      </c>
      <c r="G219" s="1">
        <v>19</v>
      </c>
      <c r="H219" s="1">
        <v>136.21</v>
      </c>
    </row>
    <row r="220" spans="1:8" x14ac:dyDescent="0.3">
      <c r="A220" s="1">
        <v>216</v>
      </c>
      <c r="B220" s="1" t="s">
        <v>8</v>
      </c>
      <c r="C220" s="1" t="s">
        <v>9</v>
      </c>
      <c r="D220" s="1" t="s">
        <v>10</v>
      </c>
      <c r="E220" s="1" t="s">
        <v>11</v>
      </c>
      <c r="F220" s="1" t="s">
        <v>19</v>
      </c>
      <c r="G220" s="1">
        <v>2</v>
      </c>
      <c r="H220" s="1">
        <v>39.270000000000003</v>
      </c>
    </row>
    <row r="221" spans="1:8" x14ac:dyDescent="0.3">
      <c r="A221" s="1">
        <v>217</v>
      </c>
      <c r="B221" s="1" t="s">
        <v>8</v>
      </c>
      <c r="C221" s="1" t="s">
        <v>9</v>
      </c>
      <c r="D221" s="1" t="s">
        <v>15</v>
      </c>
      <c r="E221" s="1" t="s">
        <v>23</v>
      </c>
      <c r="F221" s="1" t="s">
        <v>17</v>
      </c>
      <c r="G221" s="1">
        <v>16</v>
      </c>
      <c r="H221" s="1">
        <v>121.38</v>
      </c>
    </row>
    <row r="222" spans="1:8" x14ac:dyDescent="0.3">
      <c r="A222" s="1">
        <v>218</v>
      </c>
      <c r="B222" s="1" t="s">
        <v>8</v>
      </c>
      <c r="C222" s="1" t="s">
        <v>20</v>
      </c>
      <c r="D222" s="1" t="s">
        <v>10</v>
      </c>
      <c r="E222" s="1" t="s">
        <v>21</v>
      </c>
      <c r="F222" s="1" t="s">
        <v>22</v>
      </c>
      <c r="G222" s="1">
        <v>9</v>
      </c>
      <c r="H222" s="1">
        <v>192.21</v>
      </c>
    </row>
    <row r="223" spans="1:8" x14ac:dyDescent="0.3">
      <c r="A223" s="1">
        <v>219</v>
      </c>
      <c r="B223" s="1" t="s">
        <v>13</v>
      </c>
      <c r="C223" s="1" t="s">
        <v>14</v>
      </c>
      <c r="D223" s="1" t="s">
        <v>15</v>
      </c>
      <c r="E223" s="1" t="s">
        <v>11</v>
      </c>
      <c r="F223" s="1" t="s">
        <v>17</v>
      </c>
      <c r="G223" s="1">
        <v>16</v>
      </c>
      <c r="H223" s="1">
        <v>51.53</v>
      </c>
    </row>
    <row r="224" spans="1:8" x14ac:dyDescent="0.3">
      <c r="A224" s="1">
        <v>220</v>
      </c>
      <c r="B224" s="1" t="s">
        <v>8</v>
      </c>
      <c r="C224" s="1" t="s">
        <v>9</v>
      </c>
      <c r="D224" s="1" t="s">
        <v>10</v>
      </c>
      <c r="E224" s="1" t="s">
        <v>21</v>
      </c>
      <c r="F224" s="1" t="s">
        <v>19</v>
      </c>
      <c r="G224" s="1">
        <v>13</v>
      </c>
      <c r="H224" s="1">
        <v>66.77</v>
      </c>
    </row>
    <row r="225" spans="1:8" x14ac:dyDescent="0.3">
      <c r="A225" s="1">
        <v>221</v>
      </c>
      <c r="B225" s="1" t="s">
        <v>13</v>
      </c>
      <c r="C225" s="1" t="s">
        <v>14</v>
      </c>
      <c r="D225" s="1" t="s">
        <v>15</v>
      </c>
      <c r="E225" s="1" t="s">
        <v>23</v>
      </c>
      <c r="F225" s="1" t="s">
        <v>12</v>
      </c>
      <c r="G225" s="1">
        <v>17</v>
      </c>
      <c r="H225" s="1">
        <v>106.59</v>
      </c>
    </row>
    <row r="226" spans="1:8" x14ac:dyDescent="0.3">
      <c r="A226" s="1">
        <v>222</v>
      </c>
      <c r="B226" s="1" t="s">
        <v>13</v>
      </c>
      <c r="C226" s="1" t="s">
        <v>14</v>
      </c>
      <c r="D226" s="1" t="s">
        <v>10</v>
      </c>
      <c r="E226" s="1" t="s">
        <v>23</v>
      </c>
      <c r="F226" s="1" t="s">
        <v>12</v>
      </c>
      <c r="G226" s="1">
        <v>19</v>
      </c>
      <c r="H226" s="1">
        <v>356.79</v>
      </c>
    </row>
    <row r="227" spans="1:8" x14ac:dyDescent="0.3">
      <c r="A227" s="1">
        <v>223</v>
      </c>
      <c r="B227" s="1" t="s">
        <v>8</v>
      </c>
      <c r="C227" s="1" t="s">
        <v>9</v>
      </c>
      <c r="D227" s="1" t="s">
        <v>10</v>
      </c>
      <c r="E227" s="1" t="s">
        <v>11</v>
      </c>
      <c r="F227" s="1" t="s">
        <v>17</v>
      </c>
      <c r="G227" s="1">
        <v>5</v>
      </c>
      <c r="H227" s="1">
        <v>77.41</v>
      </c>
    </row>
    <row r="228" spans="1:8" x14ac:dyDescent="0.3">
      <c r="A228" s="1">
        <v>224</v>
      </c>
      <c r="B228" s="1" t="s">
        <v>8</v>
      </c>
      <c r="C228" s="1" t="s">
        <v>20</v>
      </c>
      <c r="D228" s="1" t="s">
        <v>10</v>
      </c>
      <c r="E228" s="1" t="s">
        <v>23</v>
      </c>
      <c r="F228" s="1" t="s">
        <v>12</v>
      </c>
      <c r="G228" s="1">
        <v>14</v>
      </c>
      <c r="H228" s="1">
        <v>118.49</v>
      </c>
    </row>
    <row r="229" spans="1:8" x14ac:dyDescent="0.3">
      <c r="A229" s="1">
        <v>225</v>
      </c>
      <c r="B229" s="1" t="s">
        <v>8</v>
      </c>
      <c r="C229" s="1" t="s">
        <v>20</v>
      </c>
      <c r="D229" s="1" t="s">
        <v>10</v>
      </c>
      <c r="E229" s="1" t="s">
        <v>18</v>
      </c>
      <c r="F229" s="1" t="s">
        <v>17</v>
      </c>
      <c r="G229" s="1">
        <v>19</v>
      </c>
      <c r="H229" s="1">
        <v>103.89</v>
      </c>
    </row>
    <row r="230" spans="1:8" x14ac:dyDescent="0.3">
      <c r="A230" s="1">
        <v>226</v>
      </c>
      <c r="B230" s="1" t="s">
        <v>8</v>
      </c>
      <c r="C230" s="1" t="s">
        <v>20</v>
      </c>
      <c r="D230" s="1" t="s">
        <v>10</v>
      </c>
      <c r="E230" s="1" t="s">
        <v>11</v>
      </c>
      <c r="F230" s="1" t="s">
        <v>19</v>
      </c>
      <c r="G230" s="1">
        <v>16</v>
      </c>
      <c r="H230" s="1">
        <v>301.64999999999998</v>
      </c>
    </row>
    <row r="231" spans="1:8" x14ac:dyDescent="0.3">
      <c r="A231" s="1">
        <v>227</v>
      </c>
      <c r="B231" s="1" t="s">
        <v>8</v>
      </c>
      <c r="C231" s="1" t="s">
        <v>9</v>
      </c>
      <c r="D231" s="1" t="s">
        <v>10</v>
      </c>
      <c r="E231" s="1" t="s">
        <v>11</v>
      </c>
      <c r="F231" s="1" t="s">
        <v>24</v>
      </c>
      <c r="G231" s="1">
        <v>3</v>
      </c>
      <c r="H231" s="1">
        <v>41.06</v>
      </c>
    </row>
    <row r="232" spans="1:8" x14ac:dyDescent="0.3">
      <c r="A232" s="1">
        <v>228</v>
      </c>
      <c r="B232" s="1" t="s">
        <v>8</v>
      </c>
      <c r="C232" s="1" t="s">
        <v>9</v>
      </c>
      <c r="D232" s="1" t="s">
        <v>15</v>
      </c>
      <c r="E232" s="1" t="s">
        <v>18</v>
      </c>
      <c r="F232" s="1" t="s">
        <v>12</v>
      </c>
      <c r="G232" s="1">
        <v>1</v>
      </c>
      <c r="H232" s="1">
        <v>10.26</v>
      </c>
    </row>
    <row r="233" spans="1:8" x14ac:dyDescent="0.3">
      <c r="A233" s="1">
        <v>229</v>
      </c>
      <c r="B233" s="1" t="s">
        <v>8</v>
      </c>
      <c r="C233" s="1" t="s">
        <v>9</v>
      </c>
      <c r="D233" s="1" t="s">
        <v>15</v>
      </c>
      <c r="E233" s="1" t="s">
        <v>16</v>
      </c>
      <c r="F233" s="1" t="s">
        <v>19</v>
      </c>
      <c r="G233" s="1">
        <v>14</v>
      </c>
      <c r="H233" s="1">
        <v>38.65</v>
      </c>
    </row>
    <row r="234" spans="1:8" x14ac:dyDescent="0.3">
      <c r="A234" s="1">
        <v>230</v>
      </c>
      <c r="B234" s="1" t="s">
        <v>8</v>
      </c>
      <c r="C234" s="1" t="s">
        <v>9</v>
      </c>
      <c r="D234" s="1" t="s">
        <v>15</v>
      </c>
      <c r="E234" s="1" t="s">
        <v>11</v>
      </c>
      <c r="F234" s="1" t="s">
        <v>22</v>
      </c>
      <c r="G234" s="1">
        <v>12</v>
      </c>
      <c r="H234" s="1">
        <v>193.63</v>
      </c>
    </row>
    <row r="235" spans="1:8" x14ac:dyDescent="0.3">
      <c r="A235" s="1">
        <v>231</v>
      </c>
      <c r="B235" s="1" t="s">
        <v>8</v>
      </c>
      <c r="C235" s="1" t="s">
        <v>9</v>
      </c>
      <c r="D235" s="1" t="s">
        <v>10</v>
      </c>
      <c r="E235" s="1" t="s">
        <v>11</v>
      </c>
      <c r="F235" s="1" t="s">
        <v>22</v>
      </c>
      <c r="G235" s="1">
        <v>1</v>
      </c>
      <c r="H235" s="1">
        <v>11.13</v>
      </c>
    </row>
    <row r="236" spans="1:8" x14ac:dyDescent="0.3">
      <c r="A236" s="1">
        <v>232</v>
      </c>
      <c r="B236" s="1" t="s">
        <v>8</v>
      </c>
      <c r="C236" s="1" t="s">
        <v>20</v>
      </c>
      <c r="D236" s="1" t="s">
        <v>15</v>
      </c>
      <c r="E236" s="1" t="s">
        <v>11</v>
      </c>
      <c r="F236" s="1" t="s">
        <v>22</v>
      </c>
      <c r="G236" s="1">
        <v>4</v>
      </c>
      <c r="H236" s="1">
        <v>4.58</v>
      </c>
    </row>
    <row r="237" spans="1:8" x14ac:dyDescent="0.3">
      <c r="A237" s="1">
        <v>233</v>
      </c>
      <c r="B237" s="1" t="s">
        <v>8</v>
      </c>
      <c r="C237" s="1" t="s">
        <v>9</v>
      </c>
      <c r="D237" s="1" t="s">
        <v>15</v>
      </c>
      <c r="E237" s="1" t="s">
        <v>11</v>
      </c>
      <c r="F237" s="1" t="s">
        <v>12</v>
      </c>
      <c r="G237" s="1">
        <v>6</v>
      </c>
      <c r="H237" s="1">
        <v>18.170000000000002</v>
      </c>
    </row>
    <row r="238" spans="1:8" x14ac:dyDescent="0.3">
      <c r="A238" s="1">
        <v>234</v>
      </c>
      <c r="B238" s="1" t="s">
        <v>8</v>
      </c>
      <c r="C238" s="1" t="s">
        <v>20</v>
      </c>
      <c r="D238" s="1" t="s">
        <v>10</v>
      </c>
      <c r="E238" s="1" t="s">
        <v>16</v>
      </c>
      <c r="F238" s="1" t="s">
        <v>19</v>
      </c>
      <c r="G238" s="1">
        <v>5</v>
      </c>
      <c r="H238" s="1">
        <v>24.77</v>
      </c>
    </row>
    <row r="239" spans="1:8" x14ac:dyDescent="0.3">
      <c r="A239" s="1">
        <v>235</v>
      </c>
      <c r="B239" s="1" t="s">
        <v>8</v>
      </c>
      <c r="C239" s="1" t="s">
        <v>9</v>
      </c>
      <c r="D239" s="1" t="s">
        <v>15</v>
      </c>
      <c r="E239" s="1" t="s">
        <v>18</v>
      </c>
      <c r="F239" s="1" t="s">
        <v>22</v>
      </c>
      <c r="G239" s="1">
        <v>2</v>
      </c>
      <c r="H239" s="1">
        <v>27.35</v>
      </c>
    </row>
    <row r="240" spans="1:8" x14ac:dyDescent="0.3">
      <c r="A240" s="1">
        <v>236</v>
      </c>
      <c r="B240" s="1" t="s">
        <v>8</v>
      </c>
      <c r="C240" s="1" t="s">
        <v>20</v>
      </c>
      <c r="D240" s="1" t="s">
        <v>10</v>
      </c>
      <c r="E240" s="1" t="s">
        <v>18</v>
      </c>
      <c r="F240" s="1" t="s">
        <v>22</v>
      </c>
      <c r="G240" s="1">
        <v>16</v>
      </c>
      <c r="H240" s="1">
        <v>197.91</v>
      </c>
    </row>
    <row r="241" spans="1:8" x14ac:dyDescent="0.3">
      <c r="A241" s="1">
        <v>237</v>
      </c>
      <c r="B241" s="1" t="s">
        <v>13</v>
      </c>
      <c r="C241" s="1" t="s">
        <v>14</v>
      </c>
      <c r="D241" s="1" t="s">
        <v>15</v>
      </c>
      <c r="E241" s="1" t="s">
        <v>21</v>
      </c>
      <c r="F241" s="1" t="s">
        <v>22</v>
      </c>
      <c r="G241" s="1">
        <v>8</v>
      </c>
      <c r="H241" s="1">
        <v>154.94</v>
      </c>
    </row>
    <row r="242" spans="1:8" x14ac:dyDescent="0.3">
      <c r="A242" s="1">
        <v>238</v>
      </c>
      <c r="B242" s="1" t="s">
        <v>8</v>
      </c>
      <c r="C242" s="1" t="s">
        <v>9</v>
      </c>
      <c r="D242" s="1" t="s">
        <v>10</v>
      </c>
      <c r="E242" s="1" t="s">
        <v>11</v>
      </c>
      <c r="F242" s="1" t="s">
        <v>24</v>
      </c>
      <c r="G242" s="1">
        <v>1</v>
      </c>
      <c r="H242" s="1">
        <v>8.1300000000000008</v>
      </c>
    </row>
    <row r="243" spans="1:8" x14ac:dyDescent="0.3">
      <c r="A243" s="1">
        <v>239</v>
      </c>
      <c r="B243" s="1" t="s">
        <v>8</v>
      </c>
      <c r="C243" s="1" t="s">
        <v>20</v>
      </c>
      <c r="D243" s="1" t="s">
        <v>10</v>
      </c>
      <c r="E243" s="1" t="s">
        <v>11</v>
      </c>
      <c r="F243" s="1" t="s">
        <v>24</v>
      </c>
      <c r="G243" s="1">
        <v>15</v>
      </c>
      <c r="H243" s="1">
        <v>318.58999999999997</v>
      </c>
    </row>
    <row r="244" spans="1:8" x14ac:dyDescent="0.3">
      <c r="A244" s="1">
        <v>240</v>
      </c>
      <c r="B244" s="1" t="s">
        <v>13</v>
      </c>
      <c r="C244" s="1" t="s">
        <v>14</v>
      </c>
      <c r="D244" s="1" t="s">
        <v>15</v>
      </c>
      <c r="E244" s="1" t="s">
        <v>11</v>
      </c>
      <c r="F244" s="1" t="s">
        <v>19</v>
      </c>
      <c r="G244" s="1">
        <v>16</v>
      </c>
      <c r="H244" s="1">
        <v>184.38</v>
      </c>
    </row>
    <row r="245" spans="1:8" x14ac:dyDescent="0.3">
      <c r="A245" s="1">
        <v>241</v>
      </c>
      <c r="B245" s="1" t="s">
        <v>13</v>
      </c>
      <c r="C245" s="1" t="s">
        <v>14</v>
      </c>
      <c r="D245" s="1" t="s">
        <v>15</v>
      </c>
      <c r="E245" s="1" t="s">
        <v>11</v>
      </c>
      <c r="F245" s="1" t="s">
        <v>22</v>
      </c>
      <c r="G245" s="1">
        <v>10</v>
      </c>
      <c r="H245" s="1">
        <v>38.630000000000003</v>
      </c>
    </row>
    <row r="246" spans="1:8" x14ac:dyDescent="0.3">
      <c r="A246" s="1">
        <v>242</v>
      </c>
      <c r="B246" s="1" t="s">
        <v>8</v>
      </c>
      <c r="C246" s="1" t="s">
        <v>9</v>
      </c>
      <c r="D246" s="1" t="s">
        <v>15</v>
      </c>
      <c r="E246" s="1" t="s">
        <v>11</v>
      </c>
      <c r="F246" s="1" t="s">
        <v>17</v>
      </c>
      <c r="G246" s="1">
        <v>13</v>
      </c>
      <c r="H246" s="1">
        <v>94.17</v>
      </c>
    </row>
    <row r="247" spans="1:8" x14ac:dyDescent="0.3">
      <c r="A247" s="1">
        <v>243</v>
      </c>
      <c r="B247" s="1" t="s">
        <v>8</v>
      </c>
      <c r="C247" s="1" t="s">
        <v>20</v>
      </c>
      <c r="D247" s="1" t="s">
        <v>15</v>
      </c>
      <c r="E247" s="1" t="s">
        <v>11</v>
      </c>
      <c r="F247" s="1" t="s">
        <v>12</v>
      </c>
      <c r="G247" s="1">
        <v>6</v>
      </c>
      <c r="H247" s="1">
        <v>65.61</v>
      </c>
    </row>
    <row r="248" spans="1:8" x14ac:dyDescent="0.3">
      <c r="A248" s="1">
        <v>244</v>
      </c>
      <c r="B248" s="1" t="s">
        <v>13</v>
      </c>
      <c r="C248" s="1" t="s">
        <v>14</v>
      </c>
      <c r="D248" s="1" t="s">
        <v>15</v>
      </c>
      <c r="E248" s="1" t="s">
        <v>18</v>
      </c>
      <c r="F248" s="1" t="s">
        <v>12</v>
      </c>
      <c r="G248" s="1">
        <v>15</v>
      </c>
      <c r="H248" s="1">
        <v>200.14</v>
      </c>
    </row>
    <row r="249" spans="1:8" x14ac:dyDescent="0.3">
      <c r="A249" s="1">
        <v>245</v>
      </c>
      <c r="B249" s="1" t="s">
        <v>8</v>
      </c>
      <c r="C249" s="1" t="s">
        <v>20</v>
      </c>
      <c r="D249" s="1" t="s">
        <v>15</v>
      </c>
      <c r="E249" s="1" t="s">
        <v>11</v>
      </c>
      <c r="F249" s="1" t="s">
        <v>22</v>
      </c>
      <c r="G249" s="1">
        <v>16</v>
      </c>
      <c r="H249" s="1">
        <v>266.04000000000002</v>
      </c>
    </row>
    <row r="250" spans="1:8" x14ac:dyDescent="0.3">
      <c r="A250" s="1">
        <v>246</v>
      </c>
      <c r="B250" s="1" t="s">
        <v>8</v>
      </c>
      <c r="C250" s="1" t="s">
        <v>9</v>
      </c>
      <c r="D250" s="1" t="s">
        <v>10</v>
      </c>
      <c r="E250" s="1" t="s">
        <v>16</v>
      </c>
      <c r="F250" s="1" t="s">
        <v>24</v>
      </c>
      <c r="G250" s="1">
        <v>9</v>
      </c>
      <c r="H250" s="1">
        <v>176.23</v>
      </c>
    </row>
    <row r="251" spans="1:8" x14ac:dyDescent="0.3">
      <c r="A251" s="1">
        <v>247</v>
      </c>
      <c r="B251" s="1" t="s">
        <v>8</v>
      </c>
      <c r="C251" s="1" t="s">
        <v>20</v>
      </c>
      <c r="D251" s="1" t="s">
        <v>15</v>
      </c>
      <c r="E251" s="1" t="s">
        <v>21</v>
      </c>
      <c r="F251" s="1" t="s">
        <v>24</v>
      </c>
      <c r="G251" s="1">
        <v>3</v>
      </c>
      <c r="H251" s="1">
        <v>28.28</v>
      </c>
    </row>
    <row r="252" spans="1:8" x14ac:dyDescent="0.3">
      <c r="A252" s="1">
        <v>248</v>
      </c>
      <c r="B252" s="1" t="s">
        <v>8</v>
      </c>
      <c r="C252" s="1" t="s">
        <v>9</v>
      </c>
      <c r="D252" s="1" t="s">
        <v>10</v>
      </c>
      <c r="E252" s="1" t="s">
        <v>18</v>
      </c>
      <c r="F252" s="1" t="s">
        <v>19</v>
      </c>
      <c r="G252" s="1">
        <v>17</v>
      </c>
      <c r="H252" s="1">
        <v>246.11</v>
      </c>
    </row>
    <row r="253" spans="1:8" x14ac:dyDescent="0.3">
      <c r="A253" s="1">
        <v>249</v>
      </c>
      <c r="B253" s="1" t="s">
        <v>8</v>
      </c>
      <c r="C253" s="1" t="s">
        <v>9</v>
      </c>
      <c r="D253" s="1" t="s">
        <v>15</v>
      </c>
      <c r="E253" s="1" t="s">
        <v>21</v>
      </c>
      <c r="F253" s="1" t="s">
        <v>12</v>
      </c>
      <c r="G253" s="1">
        <v>19</v>
      </c>
      <c r="H253" s="1">
        <v>195.37</v>
      </c>
    </row>
    <row r="254" spans="1:8" x14ac:dyDescent="0.3">
      <c r="A254" s="1">
        <v>250</v>
      </c>
      <c r="B254" s="1" t="s">
        <v>13</v>
      </c>
      <c r="C254" s="1" t="s">
        <v>14</v>
      </c>
      <c r="D254" s="1" t="s">
        <v>10</v>
      </c>
      <c r="E254" s="1" t="s">
        <v>18</v>
      </c>
      <c r="F254" s="1" t="s">
        <v>24</v>
      </c>
      <c r="G254" s="1">
        <v>18</v>
      </c>
      <c r="H254" s="1">
        <v>195.87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Pivot_Customer</vt:lpstr>
      <vt:lpstr>Pivot_Category</vt:lpstr>
      <vt:lpstr>Pivot_City</vt:lpstr>
      <vt:lpstr>Cleaned_Data</vt:lpstr>
      <vt:lpstr>Summary</vt:lpstr>
      <vt:lpstr>Data_Check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 Thu Thuy</cp:lastModifiedBy>
  <dcterms:created xsi:type="dcterms:W3CDTF">2024-12-20T03:38:51Z</dcterms:created>
  <dcterms:modified xsi:type="dcterms:W3CDTF">2026-05-17T15:50:57Z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